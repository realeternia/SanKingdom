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Sheet1!$A$4:$AR$84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65" i="1" l="1"/>
  <c r="AS64" i="1"/>
  <c r="AS75" i="1" l="1"/>
  <c r="AS43" i="1"/>
  <c r="AS34" i="1" l="1"/>
  <c r="AS63" i="1"/>
  <c r="AS44" i="1"/>
  <c r="AS82" i="1"/>
  <c r="AS79" i="1"/>
  <c r="AS35" i="1"/>
  <c r="AS28" i="1" l="1"/>
  <c r="AS31" i="1" l="1"/>
  <c r="AS58" i="1" l="1"/>
  <c r="AS57" i="1"/>
  <c r="AS76" i="1"/>
  <c r="AS74" i="1"/>
  <c r="AS73" i="1"/>
  <c r="AS67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9" i="1"/>
  <c r="AS30" i="1"/>
  <c r="AS32" i="1"/>
  <c r="AS33" i="1"/>
  <c r="AS36" i="1"/>
  <c r="AS37" i="1"/>
  <c r="AS38" i="1"/>
  <c r="AS39" i="1"/>
  <c r="AS40" i="1"/>
  <c r="AS41" i="1"/>
  <c r="AS42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9" i="1"/>
  <c r="AS60" i="1"/>
  <c r="AS61" i="1"/>
  <c r="AS62" i="1"/>
  <c r="AS66" i="1"/>
  <c r="AS68" i="1"/>
  <c r="AS69" i="1"/>
  <c r="AS70" i="1"/>
  <c r="AS71" i="1"/>
  <c r="AS72" i="1"/>
  <c r="AS77" i="1"/>
  <c r="AS78" i="1"/>
  <c r="AS80" i="1"/>
  <c r="AS81" i="1"/>
  <c r="AS83" i="1"/>
  <c r="AS84" i="1"/>
  <c r="AS5" i="1"/>
</calcChain>
</file>

<file path=xl/sharedStrings.xml><?xml version="1.0" encoding="utf-8"?>
<sst xmlns="http://schemas.openxmlformats.org/spreadsheetml/2006/main" count="864" uniqueCount="639">
  <si>
    <t>序列</t>
    <phoneticPr fontId="3" type="noConversion"/>
  </si>
  <si>
    <t>Id</t>
  </si>
  <si>
    <t>string</t>
    <phoneticPr fontId="3" type="noConversion"/>
  </si>
  <si>
    <t>cs</t>
  </si>
  <si>
    <t>Icon</t>
    <phoneticPr fontId="3" type="noConversion"/>
  </si>
  <si>
    <t>Name</t>
    <phoneticPr fontId="2" type="noConversion"/>
  </si>
  <si>
    <t>string</t>
    <phoneticPr fontId="2" type="noConversion"/>
  </si>
  <si>
    <t>cs</t>
    <phoneticPr fontId="2" type="noConversion"/>
  </si>
  <si>
    <t>cs</t>
    <phoneticPr fontId="3" type="noConversion"/>
  </si>
  <si>
    <t>等级</t>
    <phoneticPr fontId="2" type="noConversion"/>
  </si>
  <si>
    <t>Lv</t>
    <phoneticPr fontId="2" type="noConversion"/>
  </si>
  <si>
    <t>int</t>
    <phoneticPr fontId="2" type="noConversion"/>
  </si>
  <si>
    <t>cs</t>
    <phoneticPr fontId="2" type="noConversion"/>
  </si>
  <si>
    <t>名字</t>
    <phoneticPr fontId="2" type="noConversion"/>
  </si>
  <si>
    <t>string</t>
    <phoneticPr fontId="2" type="noConversion"/>
  </si>
  <si>
    <t>hit</t>
    <phoneticPr fontId="2" type="noConversion"/>
  </si>
  <si>
    <t>cs</t>
    <phoneticPr fontId="2" type="noConversion"/>
  </si>
  <si>
    <t>价值</t>
    <phoneticPr fontId="2" type="noConversion"/>
  </si>
  <si>
    <t>Price</t>
    <phoneticPr fontId="2" type="noConversion"/>
  </si>
  <si>
    <t>int</t>
    <phoneticPr fontId="2" type="noConversion"/>
  </si>
  <si>
    <t>cs</t>
    <phoneticPr fontId="2" type="noConversion"/>
  </si>
  <si>
    <t>发动概率</t>
    <phoneticPr fontId="2" type="noConversion"/>
  </si>
  <si>
    <t>发动cd</t>
    <phoneticPr fontId="2" type="noConversion"/>
  </si>
  <si>
    <t>Rate</t>
    <phoneticPr fontId="2" type="noConversion"/>
  </si>
  <si>
    <t>float</t>
    <phoneticPr fontId="2" type="noConversion"/>
  </si>
  <si>
    <t>cs</t>
    <phoneticPr fontId="2" type="noConversion"/>
  </si>
  <si>
    <t>CD</t>
    <phoneticPr fontId="2" type="noConversion"/>
  </si>
  <si>
    <t>string</t>
    <phoneticPr fontId="2" type="noConversion"/>
  </si>
  <si>
    <t>脚本名</t>
    <phoneticPr fontId="2" type="noConversion"/>
  </si>
  <si>
    <t>cs</t>
    <phoneticPr fontId="2" type="noConversion"/>
  </si>
  <si>
    <t>ScriptName</t>
    <phoneticPr fontId="2" type="noConversion"/>
  </si>
  <si>
    <t>BuffId</t>
    <phoneticPr fontId="2" type="noConversion"/>
  </si>
  <si>
    <t>BuffTime</t>
    <phoneticPr fontId="2" type="noConversion"/>
  </si>
  <si>
    <t>cs</t>
    <phoneticPr fontId="2" type="noConversion"/>
  </si>
  <si>
    <t>范围</t>
    <phoneticPr fontId="2" type="noConversion"/>
  </si>
  <si>
    <t>Range</t>
    <phoneticPr fontId="2" type="noConversion"/>
  </si>
  <si>
    <t>float</t>
    <phoneticPr fontId="2" type="noConversion"/>
  </si>
  <si>
    <t>cs</t>
    <phoneticPr fontId="2" type="noConversion"/>
  </si>
  <si>
    <t>图标</t>
    <phoneticPr fontId="3" type="noConversion"/>
  </si>
  <si>
    <t>治疗</t>
    <phoneticPr fontId="2" type="noConversion"/>
  </si>
  <si>
    <t>ma</t>
    <phoneticPr fontId="2" type="noConversion"/>
  </si>
  <si>
    <t>int</t>
    <phoneticPr fontId="2" type="noConversion"/>
  </si>
  <si>
    <t>pao</t>
    <phoneticPr fontId="2" type="noConversion"/>
  </si>
  <si>
    <t>LightningExplosionBlue</t>
    <phoneticPr fontId="2" type="noConversion"/>
  </si>
  <si>
    <t>shuai</t>
    <phoneticPr fontId="2" type="noConversion"/>
  </si>
  <si>
    <t>shi</t>
    <phoneticPr fontId="2" type="noConversion"/>
  </si>
  <si>
    <t>xiang</t>
    <phoneticPr fontId="2" type="noConversion"/>
  </si>
  <si>
    <t>heal</t>
    <phoneticPr fontId="2" type="noConversion"/>
  </si>
  <si>
    <t>song</t>
    <phoneticPr fontId="2" type="noConversion"/>
  </si>
  <si>
    <t>gold</t>
    <phoneticPr fontId="2" type="noConversion"/>
  </si>
  <si>
    <t>meng</t>
    <phoneticPr fontId="2" type="noConversion"/>
  </si>
  <si>
    <t>说明</t>
    <phoneticPr fontId="2" type="noConversion"/>
  </si>
  <si>
    <t>string</t>
    <phoneticPr fontId="2" type="noConversion"/>
  </si>
  <si>
    <t>cs</t>
    <phoneticPr fontId="2" type="noConversion"/>
  </si>
  <si>
    <t>旋风斩</t>
    <phoneticPr fontId="2" type="noConversion"/>
  </si>
  <si>
    <t>突破</t>
    <phoneticPr fontId="2" type="noConversion"/>
  </si>
  <si>
    <t>给与友军治疗</t>
    <phoneticPr fontId="2" type="noConversion"/>
  </si>
  <si>
    <t>给与友军攻速祝福</t>
    <phoneticPr fontId="2" type="noConversion"/>
  </si>
  <si>
    <t>Dumb</t>
    <phoneticPr fontId="2" type="noConversion"/>
  </si>
  <si>
    <t>Descript</t>
    <phoneticPr fontId="2" type="noConversion"/>
  </si>
  <si>
    <t>SwordHitBlue</t>
    <phoneticPr fontId="2" type="noConversion"/>
  </si>
  <si>
    <t>ci</t>
    <phoneticPr fontId="2" type="noConversion"/>
  </si>
  <si>
    <t>射程非常远</t>
    <phoneticPr fontId="2" type="noConversion"/>
  </si>
  <si>
    <t>lian</t>
    <phoneticPr fontId="2" type="noConversion"/>
  </si>
  <si>
    <t>受非智力攻击时高几率发动70%减伤</t>
    <phoneticPr fontId="2" type="noConversion"/>
  </si>
  <si>
    <t>teng</t>
    <phoneticPr fontId="2" type="noConversion"/>
  </si>
  <si>
    <t>藤甲</t>
    <phoneticPr fontId="2" type="noConversion"/>
  </si>
  <si>
    <t>duo</t>
    <phoneticPr fontId="2" type="noConversion"/>
  </si>
  <si>
    <t>MagicChargeYellow</t>
    <phoneticPr fontId="2" type="noConversion"/>
  </si>
  <si>
    <t>MagicChargeYellow</t>
    <phoneticPr fontId="2" type="noConversion"/>
  </si>
  <si>
    <t>MagicChargeYellow</t>
    <phoneticPr fontId="2" type="noConversion"/>
  </si>
  <si>
    <t>武统&gt;85</t>
    <phoneticPr fontId="2" type="noConversion"/>
  </si>
  <si>
    <t>武&gt;80 统帅&lt;80</t>
    <phoneticPr fontId="2" type="noConversion"/>
  </si>
  <si>
    <t>智&gt;85</t>
    <phoneticPr fontId="2" type="noConversion"/>
  </si>
  <si>
    <t>受击时几率发动减伤</t>
    <phoneticPr fontId="2" type="noConversion"/>
  </si>
  <si>
    <t>相关属性</t>
    <phoneticPr fontId="2" type="noConversion"/>
  </si>
  <si>
    <t>string</t>
    <phoneticPr fontId="2" type="noConversion"/>
  </si>
  <si>
    <t>cs</t>
    <phoneticPr fontId="2" type="noConversion"/>
  </si>
  <si>
    <t>inte</t>
    <phoneticPr fontId="2" type="noConversion"/>
  </si>
  <si>
    <t>mou</t>
    <phoneticPr fontId="2" type="noConversion"/>
  </si>
  <si>
    <t>HitBuff</t>
    <phoneticPr fontId="2" type="noConversion"/>
  </si>
  <si>
    <t>HitArea</t>
    <phoneticPr fontId="2" type="noConversion"/>
  </si>
  <si>
    <t>攻击时几率对附近敌人造成伤害</t>
    <phoneticPr fontId="2" type="noConversion"/>
  </si>
  <si>
    <t>SummonStorm</t>
    <phoneticPr fontId="2" type="noConversion"/>
  </si>
  <si>
    <t>float</t>
    <phoneticPr fontId="2" type="noConversion"/>
  </si>
  <si>
    <t>cs</t>
    <phoneticPr fontId="2" type="noConversion"/>
  </si>
  <si>
    <t>float</t>
    <phoneticPr fontId="2" type="noConversion"/>
  </si>
  <si>
    <t>攻击召唤出持续伤害的雷电阵</t>
    <phoneticPr fontId="2" type="noConversion"/>
  </si>
  <si>
    <t>tian</t>
    <phoneticPr fontId="2" type="noConversion"/>
  </si>
  <si>
    <t>火墙</t>
    <phoneticPr fontId="2" type="noConversion"/>
  </si>
  <si>
    <t>HitWall</t>
    <phoneticPr fontId="2" type="noConversion"/>
  </si>
  <si>
    <t>SoftFireBigRed</t>
    <phoneticPr fontId="2" type="noConversion"/>
  </si>
  <si>
    <t>攻击召唤出持续伤害的火墙</t>
    <phoneticPr fontId="2" type="noConversion"/>
  </si>
  <si>
    <t>yan</t>
    <phoneticPr fontId="2" type="noConversion"/>
  </si>
  <si>
    <t>神算</t>
    <phoneticPr fontId="2" type="noConversion"/>
  </si>
  <si>
    <t>连锁</t>
    <phoneticPr fontId="2" type="noConversion"/>
  </si>
  <si>
    <t>HitBuffArea</t>
    <phoneticPr fontId="2" type="noConversion"/>
  </si>
  <si>
    <t>最大目标数</t>
    <phoneticPr fontId="2" type="noConversion"/>
  </si>
  <si>
    <t>int</t>
    <phoneticPr fontId="2" type="noConversion"/>
  </si>
  <si>
    <t>cs</t>
    <phoneticPr fontId="2" type="noConversion"/>
  </si>
  <si>
    <t>锁定敌人目标,传递一半受到伤害</t>
    <phoneticPr fontId="2" type="noConversion"/>
  </si>
  <si>
    <t>suo</t>
    <phoneticPr fontId="2" type="noConversion"/>
  </si>
  <si>
    <t>Strength</t>
    <phoneticPr fontId="2" type="noConversion"/>
  </si>
  <si>
    <t>leadShip</t>
    <phoneticPr fontId="2" type="noConversion"/>
  </si>
  <si>
    <t>gui</t>
    <phoneticPr fontId="2" type="noConversion"/>
  </si>
  <si>
    <t>鬼谋</t>
    <phoneticPr fontId="2" type="noConversion"/>
  </si>
  <si>
    <t>MagicChargeGreen</t>
    <phoneticPr fontId="2" type="noConversion"/>
  </si>
  <si>
    <t>提升士兵等级</t>
    <phoneticPr fontId="2" type="noConversion"/>
  </si>
  <si>
    <t>guo</t>
    <phoneticPr fontId="2" type="noConversion"/>
  </si>
  <si>
    <t>攻击时回复生命</t>
    <phoneticPr fontId="2" type="noConversion"/>
  </si>
  <si>
    <t>AttackedBuff</t>
    <phoneticPr fontId="2" type="noConversion"/>
  </si>
  <si>
    <t>AttackedBuff</t>
    <phoneticPr fontId="2" type="noConversion"/>
  </si>
  <si>
    <t>MagicBuffGreen</t>
    <phoneticPr fontId="2" type="noConversion"/>
  </si>
  <si>
    <t>MagicBuffGreen</t>
    <phoneticPr fontId="2" type="noConversion"/>
  </si>
  <si>
    <t>AttackedShadow</t>
    <phoneticPr fontId="2" type="noConversion"/>
  </si>
  <si>
    <t>HitTeleport</t>
    <phoneticPr fontId="2" type="noConversion"/>
  </si>
  <si>
    <t>埋伏</t>
    <phoneticPr fontId="2" type="noConversion"/>
  </si>
  <si>
    <t>MagicFieldGreen</t>
    <phoneticPr fontId="2" type="noConversion"/>
  </si>
  <si>
    <t>fu</t>
    <phoneticPr fontId="2" type="noConversion"/>
  </si>
  <si>
    <t>明镜</t>
    <phoneticPr fontId="2" type="noConversion"/>
  </si>
  <si>
    <t>jing</t>
    <phoneticPr fontId="2" type="noConversion"/>
  </si>
  <si>
    <t>范围外</t>
    <phoneticPr fontId="2" type="noConversion"/>
  </si>
  <si>
    <t>RangeOut</t>
    <phoneticPr fontId="2" type="noConversion"/>
  </si>
  <si>
    <t>bool</t>
    <phoneticPr fontId="2" type="noConversion"/>
  </si>
  <si>
    <t>cs</t>
    <phoneticPr fontId="2" type="noConversion"/>
  </si>
  <si>
    <t>MagicNovaYellow</t>
    <phoneticPr fontId="2" type="noConversion"/>
  </si>
  <si>
    <t>威震</t>
    <phoneticPr fontId="2" type="noConversion"/>
  </si>
  <si>
    <t>wei</t>
    <phoneticPr fontId="2" type="noConversion"/>
  </si>
  <si>
    <t>火矢</t>
    <phoneticPr fontId="2" type="noConversion"/>
  </si>
  <si>
    <t>inte</t>
    <phoneticPr fontId="2" type="noConversion"/>
  </si>
  <si>
    <t>str</t>
    <phoneticPr fontId="2" type="noConversion"/>
  </si>
  <si>
    <t>SummonCount</t>
    <phoneticPr fontId="2" type="noConversion"/>
  </si>
  <si>
    <t>int</t>
    <phoneticPr fontId="2" type="noConversion"/>
  </si>
  <si>
    <t>SummonTime</t>
    <phoneticPr fontId="2" type="noConversion"/>
  </si>
  <si>
    <t>SummonHitInterval</t>
    <phoneticPr fontId="2" type="noConversion"/>
  </si>
  <si>
    <t>攻击时射出火箭</t>
    <phoneticPr fontId="2" type="noConversion"/>
  </si>
  <si>
    <t>shi3</t>
    <phoneticPr fontId="2" type="noConversion"/>
  </si>
  <si>
    <t>str</t>
    <phoneticPr fontId="2" type="noConversion"/>
  </si>
  <si>
    <t>坚韧</t>
    <phoneticPr fontId="2" type="noConversion"/>
  </si>
  <si>
    <t>HitRepeat</t>
    <phoneticPr fontId="2" type="noConversion"/>
  </si>
  <si>
    <t>SwordHitRedCritical</t>
    <phoneticPr fontId="2" type="noConversion"/>
  </si>
  <si>
    <t>计数次数</t>
    <phoneticPr fontId="2" type="noConversion"/>
  </si>
  <si>
    <t>int</t>
    <phoneticPr fontId="2" type="noConversion"/>
  </si>
  <si>
    <t>cs</t>
    <phoneticPr fontId="2" type="noConversion"/>
  </si>
  <si>
    <t>DoCount</t>
    <phoneticPr fontId="2" type="noConversion"/>
  </si>
  <si>
    <t>计数延迟</t>
    <phoneticPr fontId="2" type="noConversion"/>
  </si>
  <si>
    <t>float</t>
    <phoneticPr fontId="2" type="noConversion"/>
  </si>
  <si>
    <t>TimeDelay</t>
    <phoneticPr fontId="2" type="noConversion"/>
  </si>
  <si>
    <t>虎卫队</t>
    <phoneticPr fontId="2" type="noConversion"/>
  </si>
  <si>
    <t>攻击时几率对目标进行三连击</t>
    <phoneticPr fontId="2" type="noConversion"/>
  </si>
  <si>
    <t>hu</t>
    <phoneticPr fontId="2" type="noConversion"/>
  </si>
  <si>
    <t>青州兵</t>
    <phoneticPr fontId="2" type="noConversion"/>
  </si>
  <si>
    <t>攻击时几率对目标进行2连击</t>
    <phoneticPr fontId="2" type="noConversion"/>
  </si>
  <si>
    <t>SwordHitGreenCritical</t>
    <phoneticPr fontId="2" type="noConversion"/>
  </si>
  <si>
    <t>qing</t>
    <phoneticPr fontId="2" type="noConversion"/>
  </si>
  <si>
    <t>攻击时几率提升自己的属性</t>
    <phoneticPr fontId="2" type="noConversion"/>
  </si>
  <si>
    <t>zhang</t>
    <phoneticPr fontId="2" type="noConversion"/>
  </si>
  <si>
    <t>Attr</t>
    <phoneticPr fontId="2" type="noConversion"/>
  </si>
  <si>
    <t>击破</t>
    <phoneticPr fontId="2" type="noConversion"/>
  </si>
  <si>
    <t>po</t>
    <phoneticPr fontId="2" type="noConversion"/>
  </si>
  <si>
    <t>gong</t>
    <phoneticPr fontId="2" type="noConversion"/>
  </si>
  <si>
    <t>nu</t>
    <phoneticPr fontId="2" type="noConversion"/>
  </si>
  <si>
    <t>刺甲</t>
    <phoneticPr fontId="2" type="noConversion"/>
  </si>
  <si>
    <t>炮车</t>
    <phoneticPr fontId="2" type="noConversion"/>
  </si>
  <si>
    <t>攻击目标发生爆炸</t>
    <phoneticPr fontId="2" type="noConversion"/>
  </si>
  <si>
    <t>反弹50%近战伤害</t>
    <phoneticPr fontId="2" type="noConversion"/>
  </si>
  <si>
    <t>弩手</t>
    <phoneticPr fontId="2" type="noConversion"/>
  </si>
  <si>
    <t>dao</t>
    <phoneticPr fontId="2" type="noConversion"/>
  </si>
  <si>
    <t>che</t>
    <phoneticPr fontId="2" type="noConversion"/>
  </si>
  <si>
    <t>LightningExplosionRed</t>
    <phoneticPr fontId="2" type="noConversion"/>
  </si>
  <si>
    <t>冲锋</t>
    <phoneticPr fontId="2" type="noConversion"/>
  </si>
  <si>
    <t>移动时穿越敌人,降低目标防御</t>
    <phoneticPr fontId="2" type="noConversion"/>
  </si>
  <si>
    <t>spin</t>
    <phoneticPr fontId="2" type="noConversion"/>
  </si>
  <si>
    <t>SwordWhirlwindWhite</t>
    <phoneticPr fontId="2" type="noConversion"/>
  </si>
  <si>
    <t>throw</t>
    <phoneticPr fontId="2" type="noConversion"/>
  </si>
  <si>
    <t>弓手</t>
    <phoneticPr fontId="2" type="noConversion"/>
  </si>
  <si>
    <t>刀兵</t>
    <phoneticPr fontId="2" type="noConversion"/>
  </si>
  <si>
    <t>王</t>
    <phoneticPr fontId="2" type="noConversion"/>
  </si>
  <si>
    <t>shan</t>
    <phoneticPr fontId="2" type="noConversion"/>
  </si>
  <si>
    <t>羽扇</t>
    <phoneticPr fontId="2" type="noConversion"/>
  </si>
  <si>
    <t>远程射击单位</t>
    <phoneticPr fontId="2" type="noConversion"/>
  </si>
  <si>
    <t>运筹</t>
    <phoneticPr fontId="2" type="noConversion"/>
  </si>
  <si>
    <t>谋略</t>
    <phoneticPr fontId="2" type="noConversion"/>
  </si>
  <si>
    <t>声乐</t>
    <phoneticPr fontId="2" type="noConversion"/>
  </si>
  <si>
    <t>枪阵</t>
    <phoneticPr fontId="2" type="noConversion"/>
  </si>
  <si>
    <t>qiang</t>
    <phoneticPr fontId="2" type="noConversion"/>
  </si>
  <si>
    <t>戟阵</t>
    <phoneticPr fontId="2" type="noConversion"/>
  </si>
  <si>
    <t>ji</t>
    <phoneticPr fontId="2" type="noConversion"/>
  </si>
  <si>
    <t>SwordSlashMiniWhite</t>
    <phoneticPr fontId="2" type="noConversion"/>
  </si>
  <si>
    <t>HitAround</t>
    <phoneticPr fontId="2" type="noConversion"/>
  </si>
  <si>
    <t>选取点</t>
    <phoneticPr fontId="2" type="noConversion"/>
  </si>
  <si>
    <t>string</t>
    <phoneticPr fontId="2" type="noConversion"/>
  </si>
  <si>
    <t>cs</t>
    <phoneticPr fontId="2" type="noConversion"/>
  </si>
  <si>
    <t>targetUnit</t>
    <phoneticPr fontId="2" type="noConversion"/>
  </si>
  <si>
    <t>castUnit</t>
    <phoneticPr fontId="2" type="noConversion"/>
  </si>
  <si>
    <t>TargetType</t>
    <phoneticPr fontId="2" type="noConversion"/>
  </si>
  <si>
    <t>MagicNovaYellow</t>
    <phoneticPr fontId="2" type="noConversion"/>
  </si>
  <si>
    <t>MagicNovaYellow</t>
    <phoneticPr fontId="2" type="noConversion"/>
  </si>
  <si>
    <t>spin</t>
    <phoneticPr fontId="2" type="noConversion"/>
  </si>
  <si>
    <t>throw</t>
    <phoneticPr fontId="2" type="noConversion"/>
  </si>
  <si>
    <t>spin</t>
    <phoneticPr fontId="2" type="noConversion"/>
  </si>
  <si>
    <t>spin</t>
    <phoneticPr fontId="2" type="noConversion"/>
  </si>
  <si>
    <t>jump</t>
    <phoneticPr fontId="2" type="noConversion"/>
  </si>
  <si>
    <t>富甲</t>
    <phoneticPr fontId="2" type="noConversion"/>
  </si>
  <si>
    <t>HelpAidBuff</t>
    <phoneticPr fontId="2" type="noConversion"/>
  </si>
  <si>
    <t>战鼓</t>
    <phoneticPr fontId="2" type="noConversion"/>
  </si>
  <si>
    <t>给与友军攻击力祝福</t>
    <phoneticPr fontId="2" type="noConversion"/>
  </si>
  <si>
    <t>sway</t>
    <phoneticPr fontId="2" type="noConversion"/>
  </si>
  <si>
    <t>移动时穿越敌人,造成额外伤害</t>
    <phoneticPr fontId="2" type="noConversion"/>
  </si>
  <si>
    <t>gu</t>
    <phoneticPr fontId="2" type="noConversion"/>
  </si>
  <si>
    <t>SummonSpeed</t>
    <phoneticPr fontId="2" type="noConversion"/>
  </si>
  <si>
    <t>float</t>
    <phoneticPr fontId="2" type="noConversion"/>
  </si>
  <si>
    <t>cs</t>
    <phoneticPr fontId="2" type="noConversion"/>
  </si>
  <si>
    <t>EffectSize</t>
    <phoneticPr fontId="2" type="noConversion"/>
  </si>
  <si>
    <t>size</t>
    <phoneticPr fontId="2" type="noConversion"/>
  </si>
  <si>
    <t>float</t>
    <phoneticPr fontId="2" type="noConversion"/>
  </si>
  <si>
    <t>cs</t>
    <phoneticPr fontId="2" type="noConversion"/>
  </si>
  <si>
    <t>MagicNovaBlue</t>
    <phoneticPr fontId="2" type="noConversion"/>
  </si>
  <si>
    <t>NukeMissileFires</t>
    <phoneticPr fontId="2" type="noConversion"/>
  </si>
  <si>
    <t>float</t>
    <phoneticPr fontId="2" type="noConversion"/>
  </si>
  <si>
    <t>cs</t>
    <phoneticPr fontId="2" type="noConversion"/>
  </si>
  <si>
    <t>SummonArea</t>
    <phoneticPr fontId="2" type="noConversion"/>
  </si>
  <si>
    <t>str</t>
    <phoneticPr fontId="2" type="noConversion"/>
  </si>
  <si>
    <t>护卫</t>
    <phoneticPr fontId="2" type="noConversion"/>
  </si>
  <si>
    <t>给与友军护盾祝福</t>
    <phoneticPr fontId="2" type="noConversion"/>
  </si>
  <si>
    <t>hu1</t>
    <phoneticPr fontId="2" type="noConversion"/>
  </si>
  <si>
    <t>攻击时30%发出2只箭</t>
    <phoneticPr fontId="2" type="noConversion"/>
  </si>
  <si>
    <t>学习</t>
    <phoneticPr fontId="2" type="noConversion"/>
  </si>
  <si>
    <t>inte</t>
  </si>
  <si>
    <t>leadShip</t>
  </si>
  <si>
    <t>str</t>
    <phoneticPr fontId="2" type="noConversion"/>
  </si>
  <si>
    <t>leadShip</t>
    <phoneticPr fontId="2" type="noConversion"/>
  </si>
  <si>
    <t>攻击造成生命值比例伤害</t>
    <phoneticPr fontId="2" type="noConversion"/>
  </si>
  <si>
    <t>DamageReal</t>
    <phoneticPr fontId="2" type="noConversion"/>
  </si>
  <si>
    <t>条件参数</t>
    <phoneticPr fontId="2" type="noConversion"/>
  </si>
  <si>
    <t>float</t>
    <phoneticPr fontId="2" type="noConversion"/>
  </si>
  <si>
    <t>cs</t>
    <phoneticPr fontId="2" type="noConversion"/>
  </si>
  <si>
    <t>str</t>
    <phoneticPr fontId="2" type="noConversion"/>
  </si>
  <si>
    <t>直接杀死低生命值单位</t>
    <phoneticPr fontId="2" type="noConversion"/>
  </si>
  <si>
    <t>SwordHitRedCritical</t>
    <phoneticPr fontId="2" type="noConversion"/>
  </si>
  <si>
    <t>SwordHitRedCritical</t>
    <phoneticPr fontId="2" type="noConversion"/>
  </si>
  <si>
    <t>斩</t>
    <phoneticPr fontId="2" type="noConversion"/>
  </si>
  <si>
    <t>zhan</t>
    <phoneticPr fontId="2" type="noConversion"/>
  </si>
  <si>
    <t>jumpspin</t>
    <phoneticPr fontId="2" type="noConversion"/>
  </si>
  <si>
    <t>百出</t>
    <phoneticPr fontId="2" type="noConversion"/>
  </si>
  <si>
    <t>bai</t>
    <phoneticPr fontId="2" type="noConversion"/>
  </si>
  <si>
    <t>Type</t>
    <phoneticPr fontId="2" type="noConversion"/>
  </si>
  <si>
    <t>string</t>
    <phoneticPr fontId="2" type="noConversion"/>
  </si>
  <si>
    <t>分类</t>
    <phoneticPr fontId="2" type="noConversion"/>
  </si>
  <si>
    <t>cs</t>
    <phoneticPr fontId="2" type="noConversion"/>
  </si>
  <si>
    <t>ModifySkillRateTime</t>
    <phoneticPr fontId="2" type="noConversion"/>
  </si>
  <si>
    <t>ModifySkillRateTime</t>
    <phoneticPr fontId="2" type="noConversion"/>
  </si>
  <si>
    <t>智技up</t>
    <phoneticPr fontId="2" type="noConversion"/>
  </si>
  <si>
    <t>智技up</t>
    <phoneticPr fontId="2" type="noConversion"/>
  </si>
  <si>
    <t>职业</t>
    <phoneticPr fontId="2" type="noConversion"/>
  </si>
  <si>
    <t>缩写</t>
    <phoneticPr fontId="2" type="noConversion"/>
  </si>
  <si>
    <t>乐</t>
  </si>
  <si>
    <t>鼓</t>
  </si>
  <si>
    <t>雨</t>
  </si>
  <si>
    <t>刀</t>
  </si>
  <si>
    <t>弓</t>
  </si>
  <si>
    <t>炮</t>
  </si>
  <si>
    <t>弩</t>
  </si>
  <si>
    <t>枪</t>
  </si>
  <si>
    <t>戟</t>
  </si>
  <si>
    <t>炎</t>
  </si>
  <si>
    <t>鬼</t>
  </si>
  <si>
    <t>斩</t>
  </si>
  <si>
    <t>虎</t>
  </si>
  <si>
    <t>青</t>
  </si>
  <si>
    <t>刺</t>
  </si>
  <si>
    <t>藤</t>
  </si>
  <si>
    <t>威</t>
  </si>
  <si>
    <t>百</t>
  </si>
  <si>
    <t>神</t>
  </si>
  <si>
    <t>学</t>
  </si>
  <si>
    <t>帅</t>
    <phoneticPr fontId="2" type="noConversion"/>
  </si>
  <si>
    <t>士</t>
    <phoneticPr fontId="2" type="noConversion"/>
  </si>
  <si>
    <t>马</t>
    <phoneticPr fontId="2" type="noConversion"/>
  </si>
  <si>
    <t>相</t>
    <phoneticPr fontId="2" type="noConversion"/>
  </si>
  <si>
    <t>谋</t>
    <phoneticPr fontId="2" type="noConversion"/>
  </si>
  <si>
    <t>车</t>
    <phoneticPr fontId="2" type="noConversion"/>
  </si>
  <si>
    <t>医</t>
    <phoneticPr fontId="2" type="noConversion"/>
  </si>
  <si>
    <t>天</t>
    <phoneticPr fontId="2" type="noConversion"/>
  </si>
  <si>
    <t>矢</t>
    <phoneticPr fontId="2" type="noConversion"/>
  </si>
  <si>
    <t>护</t>
    <phoneticPr fontId="2" type="noConversion"/>
  </si>
  <si>
    <t>锁</t>
    <phoneticPr fontId="2" type="noConversion"/>
  </si>
  <si>
    <t>破</t>
    <phoneticPr fontId="2" type="noConversion"/>
  </si>
  <si>
    <t>商</t>
    <phoneticPr fontId="2" type="noConversion"/>
  </si>
  <si>
    <t>国</t>
    <phoneticPr fontId="2" type="noConversion"/>
  </si>
  <si>
    <t>Sname</t>
    <phoneticPr fontId="2" type="noConversion"/>
  </si>
  <si>
    <t>镜</t>
    <phoneticPr fontId="2" type="noConversion"/>
  </si>
  <si>
    <t>连击</t>
    <phoneticPr fontId="2" type="noConversion"/>
  </si>
  <si>
    <t>攻击时几率触发连续攻击</t>
    <phoneticPr fontId="2" type="noConversion"/>
  </si>
  <si>
    <t>攻击up</t>
    <phoneticPr fontId="2" type="noConversion"/>
  </si>
  <si>
    <t>技</t>
    <phoneticPr fontId="2" type="noConversion"/>
  </si>
  <si>
    <t>术</t>
    <phoneticPr fontId="2" type="noConversion"/>
  </si>
  <si>
    <t>StrengthInt</t>
    <phoneticPr fontId="2" type="noConversion"/>
  </si>
  <si>
    <t>int</t>
    <phoneticPr fontId="2" type="noConversion"/>
  </si>
  <si>
    <t>攻击几率造成额外伤害</t>
    <phoneticPr fontId="2" type="noConversion"/>
  </si>
  <si>
    <t>jie</t>
    <phoneticPr fontId="2" type="noConversion"/>
  </si>
  <si>
    <t>智技up</t>
    <phoneticPr fontId="2" type="noConversion"/>
  </si>
  <si>
    <t>sway</t>
    <phoneticPr fontId="2" type="noConversion"/>
  </si>
  <si>
    <t>flipspin</t>
    <phoneticPr fontId="2" type="noConversion"/>
  </si>
  <si>
    <t>saw</t>
    <phoneticPr fontId="2" type="noConversion"/>
  </si>
  <si>
    <t>生命值低时降低50%伤害</t>
    <phoneticPr fontId="2" type="noConversion"/>
  </si>
  <si>
    <t>坚毅</t>
    <phoneticPr fontId="2" type="noConversion"/>
  </si>
  <si>
    <t>jian</t>
    <phoneticPr fontId="2" type="noConversion"/>
  </si>
  <si>
    <t>DefHpLow</t>
    <phoneticPr fontId="2" type="noConversion"/>
  </si>
  <si>
    <t>扇</t>
    <phoneticPr fontId="2" type="noConversion"/>
  </si>
  <si>
    <t>给与我方同阵营单位17%生命值护盾</t>
    <phoneticPr fontId="2" type="noConversion"/>
  </si>
  <si>
    <t>米道</t>
    <phoneticPr fontId="2" type="noConversion"/>
  </si>
  <si>
    <t>food</t>
    <phoneticPr fontId="2" type="noConversion"/>
  </si>
  <si>
    <t>劫</t>
  </si>
  <si>
    <t>jie2</t>
    <phoneticPr fontId="2" type="noConversion"/>
  </si>
  <si>
    <t>HitFood</t>
    <phoneticPr fontId="2" type="noConversion"/>
  </si>
  <si>
    <t>米</t>
    <phoneticPr fontId="2" type="noConversion"/>
  </si>
  <si>
    <t>劫粮</t>
    <phoneticPr fontId="2" type="noConversion"/>
  </si>
  <si>
    <t>攻击几率获取对方粮食</t>
    <phoneticPr fontId="2" type="noConversion"/>
  </si>
  <si>
    <t>坚</t>
    <phoneticPr fontId="2" type="noConversion"/>
  </si>
  <si>
    <t>攻击目标时伤害周边敌人</t>
    <phoneticPr fontId="2" type="noConversion"/>
  </si>
  <si>
    <t>int</t>
    <phoneticPr fontId="2" type="noConversion"/>
  </si>
  <si>
    <t>UnitHelpType</t>
    <phoneticPr fontId="2" type="noConversion"/>
  </si>
  <si>
    <t>cs</t>
    <phoneticPr fontId="2" type="noConversion"/>
  </si>
  <si>
    <t>效果范围(1横向，2纵向)</t>
    <phoneticPr fontId="2" type="noConversion"/>
  </si>
  <si>
    <t>励</t>
    <phoneticPr fontId="2" type="noConversion"/>
  </si>
  <si>
    <t>激励</t>
    <phoneticPr fontId="2" type="noConversion"/>
  </si>
  <si>
    <t>li</t>
    <phoneticPr fontId="2" type="noConversion"/>
  </si>
  <si>
    <t>str</t>
    <phoneticPr fontId="2" type="noConversion"/>
  </si>
  <si>
    <t>MagicChargePink</t>
  </si>
  <si>
    <t>MagicChargePink</t>
    <phoneticPr fontId="2" type="noConversion"/>
  </si>
  <si>
    <t>fen</t>
    <phoneticPr fontId="2" type="noConversion"/>
  </si>
  <si>
    <t>奋进</t>
    <phoneticPr fontId="2" type="noConversion"/>
  </si>
  <si>
    <t>奋</t>
    <phoneticPr fontId="2" type="noConversion"/>
  </si>
  <si>
    <t>光环技能</t>
    <phoneticPr fontId="2" type="noConversion"/>
  </si>
  <si>
    <t>cs</t>
    <phoneticPr fontId="2" type="noConversion"/>
  </si>
  <si>
    <t>string</t>
    <phoneticPr fontId="2" type="noConversion"/>
  </si>
  <si>
    <t>HelpSkill</t>
    <phoneticPr fontId="2" type="noConversion"/>
  </si>
  <si>
    <t>延</t>
    <phoneticPr fontId="2" type="noConversion"/>
  </si>
  <si>
    <t>透</t>
    <phoneticPr fontId="2" type="noConversion"/>
  </si>
  <si>
    <t>透</t>
    <phoneticPr fontId="2" type="noConversion"/>
  </si>
  <si>
    <t>防御up</t>
    <phoneticPr fontId="2" type="noConversion"/>
  </si>
  <si>
    <t>反弹30%智力伤害</t>
    <phoneticPr fontId="2" type="noConversion"/>
  </si>
  <si>
    <t>职业限定</t>
    <phoneticPr fontId="2" type="noConversion"/>
  </si>
  <si>
    <t>string</t>
    <phoneticPr fontId="2" type="noConversion"/>
  </si>
  <si>
    <t>cs</t>
    <phoneticPr fontId="2" type="noConversion"/>
  </si>
  <si>
    <t>扇谋相</t>
    <phoneticPr fontId="2" type="noConversion"/>
  </si>
  <si>
    <t>解</t>
    <phoneticPr fontId="2" type="noConversion"/>
  </si>
  <si>
    <t>奇袭</t>
    <phoneticPr fontId="2" type="noConversion"/>
  </si>
  <si>
    <t>qi</t>
    <phoneticPr fontId="2" type="noConversion"/>
  </si>
  <si>
    <t>奇</t>
    <phoneticPr fontId="2" type="noConversion"/>
  </si>
  <si>
    <t>奇</t>
    <phoneticPr fontId="2" type="noConversion"/>
  </si>
  <si>
    <t>铁骑</t>
    <phoneticPr fontId="2" type="noConversion"/>
  </si>
  <si>
    <t>铁</t>
    <phoneticPr fontId="2" type="noConversion"/>
  </si>
  <si>
    <t>tie</t>
    <phoneticPr fontId="2" type="noConversion"/>
  </si>
  <si>
    <t>铁</t>
    <phoneticPr fontId="2" type="noConversion"/>
  </si>
  <si>
    <t>马车</t>
    <phoneticPr fontId="2" type="noConversion"/>
  </si>
  <si>
    <t>自己和同行[弓弩]箭矢飞行速度提升</t>
    <phoneticPr fontId="2" type="noConversion"/>
  </si>
  <si>
    <t>ModifyShootSpeed</t>
    <phoneticPr fontId="2" type="noConversion"/>
  </si>
  <si>
    <t>su</t>
    <phoneticPr fontId="2" type="noConversion"/>
  </si>
  <si>
    <t>速</t>
    <phoneticPr fontId="2" type="noConversion"/>
  </si>
  <si>
    <t>弓弩</t>
    <phoneticPr fontId="2" type="noConversion"/>
  </si>
  <si>
    <t>速</t>
    <phoneticPr fontId="2" type="noConversion"/>
  </si>
  <si>
    <t>速射</t>
    <phoneticPr fontId="2" type="noConversion"/>
  </si>
  <si>
    <t>落雷</t>
    <phoneticPr fontId="2" type="noConversion"/>
  </si>
  <si>
    <t>静</t>
    <phoneticPr fontId="2" type="noConversion"/>
  </si>
  <si>
    <t>明镜小</t>
    <phoneticPr fontId="2" type="noConversion"/>
  </si>
  <si>
    <t>jing2</t>
    <phoneticPr fontId="2" type="noConversion"/>
  </si>
  <si>
    <t>自己和同行队友反弹智力伤害</t>
    <phoneticPr fontId="2" type="noConversion"/>
  </si>
  <si>
    <t>蔓延</t>
    <phoneticPr fontId="2" type="noConversion"/>
  </si>
  <si>
    <t>shen</t>
    <phoneticPr fontId="2" type="noConversion"/>
  </si>
  <si>
    <t>yan2</t>
    <phoneticPr fontId="2" type="noConversion"/>
  </si>
  <si>
    <t>bai2</t>
    <phoneticPr fontId="2" type="noConversion"/>
  </si>
  <si>
    <t>yan3</t>
    <phoneticPr fontId="2" type="noConversion"/>
  </si>
  <si>
    <t>白</t>
    <phoneticPr fontId="2" type="noConversion"/>
  </si>
  <si>
    <t>百出小</t>
    <phoneticPr fontId="2" type="noConversion"/>
  </si>
  <si>
    <t>蔓延小</t>
    <phoneticPr fontId="2" type="noConversion"/>
  </si>
  <si>
    <t>国士</t>
    <phoneticPr fontId="2" type="noConversion"/>
  </si>
  <si>
    <t>瓦解</t>
    <phoneticPr fontId="2" type="noConversion"/>
  </si>
  <si>
    <t>瓦解小</t>
    <phoneticPr fontId="2" type="noConversion"/>
  </si>
  <si>
    <t>jie3</t>
    <phoneticPr fontId="2" type="noConversion"/>
  </si>
  <si>
    <t>箭雨</t>
    <phoneticPr fontId="2" type="noConversion"/>
  </si>
  <si>
    <t>DefPlantSkin</t>
    <phoneticPr fontId="2" type="noConversion"/>
  </si>
  <si>
    <t>DefFeedback</t>
    <phoneticPr fontId="2" type="noConversion"/>
  </si>
  <si>
    <t>判定属性</t>
    <phoneticPr fontId="2" type="noConversion"/>
  </si>
  <si>
    <t>string[]</t>
    <phoneticPr fontId="2" type="noConversion"/>
  </si>
  <si>
    <t>cs</t>
    <phoneticPr fontId="2" type="noConversion"/>
  </si>
  <si>
    <t>inte</t>
    <phoneticPr fontId="2" type="noConversion"/>
  </si>
  <si>
    <t>inte</t>
    <phoneticPr fontId="2" type="noConversion"/>
  </si>
  <si>
    <t>leadShip</t>
    <phoneticPr fontId="2" type="noConversion"/>
  </si>
  <si>
    <t>str</t>
    <phoneticPr fontId="2" type="noConversion"/>
  </si>
  <si>
    <t>HelpAidBuff</t>
    <phoneticPr fontId="2" type="noConversion"/>
  </si>
  <si>
    <t>提升同列队友武力</t>
    <phoneticPr fontId="2" type="noConversion"/>
  </si>
  <si>
    <t>提升同列队友智力</t>
    <phoneticPr fontId="2" type="noConversion"/>
  </si>
  <si>
    <t>一定几率混乱目标单位2s</t>
  </si>
  <si>
    <t>自己和同行[马车]技能附带混乱效果</t>
  </si>
  <si>
    <t>自己和同行队友统帅技能造成的混乱时间增加50%</t>
  </si>
  <si>
    <t>攻击时混乱周围目标</t>
  </si>
  <si>
    <t>旋</t>
    <phoneticPr fontId="2" type="noConversion"/>
  </si>
  <si>
    <t>str,leadShip</t>
    <phoneticPr fontId="2" type="noConversion"/>
  </si>
  <si>
    <t>str,leadShip</t>
    <phoneticPr fontId="2" type="noConversion"/>
  </si>
  <si>
    <t>识</t>
    <phoneticPr fontId="2" type="noConversion"/>
  </si>
  <si>
    <t>DefSkillDamageReduce</t>
    <phoneticPr fontId="2" type="noConversion"/>
  </si>
  <si>
    <t>inte</t>
    <phoneticPr fontId="2" type="noConversion"/>
  </si>
  <si>
    <t>shi4</t>
    <phoneticPr fontId="2" type="noConversion"/>
  </si>
  <si>
    <t>shi5</t>
    <phoneticPr fontId="2" type="noConversion"/>
  </si>
  <si>
    <t>实</t>
    <phoneticPr fontId="2" type="noConversion"/>
  </si>
  <si>
    <t>实</t>
    <phoneticPr fontId="2" type="noConversion"/>
  </si>
  <si>
    <t>ModifyBuffTime</t>
    <phoneticPr fontId="2" type="noConversion"/>
  </si>
  <si>
    <t>leadShip</t>
    <phoneticPr fontId="2" type="noConversion"/>
  </si>
  <si>
    <t>降低智力类技能伤害</t>
    <phoneticPr fontId="2" type="noConversion"/>
  </si>
  <si>
    <t>降低智力类技能造成的负面状态时间</t>
    <phoneticPr fontId="2" type="noConversion"/>
  </si>
  <si>
    <t>ModifyBeBuffTime</t>
    <phoneticPr fontId="2" type="noConversion"/>
  </si>
  <si>
    <t>识破</t>
    <phoneticPr fontId="2" type="noConversion"/>
  </si>
  <si>
    <t>同行降低智力类技能伤害</t>
    <phoneticPr fontId="2" type="noConversion"/>
  </si>
  <si>
    <t>境</t>
    <phoneticPr fontId="2" type="noConversion"/>
  </si>
  <si>
    <t>竟</t>
    <phoneticPr fontId="2" type="noConversion"/>
  </si>
  <si>
    <t>降低同行智力类技能造成的负面状态时间</t>
    <phoneticPr fontId="2" type="noConversion"/>
  </si>
  <si>
    <t>境</t>
    <phoneticPr fontId="2" type="noConversion"/>
  </si>
  <si>
    <t>jing3</t>
    <phoneticPr fontId="2" type="noConversion"/>
  </si>
  <si>
    <t>jing4</t>
    <phoneticPr fontId="2" type="noConversion"/>
  </si>
  <si>
    <t>ConditionParm</t>
    <phoneticPr fontId="2" type="noConversion"/>
  </si>
  <si>
    <t>TargetCount</t>
    <phoneticPr fontId="2" type="noConversion"/>
  </si>
  <si>
    <t>InitAddCrit</t>
    <phoneticPr fontId="2" type="noConversion"/>
  </si>
  <si>
    <t>提升20%暴击率</t>
    <phoneticPr fontId="2" type="noConversion"/>
  </si>
  <si>
    <t>自己和同行队友提升20%暴击率</t>
    <phoneticPr fontId="2" type="noConversion"/>
  </si>
  <si>
    <t>冷静</t>
    <phoneticPr fontId="2" type="noConversion"/>
  </si>
  <si>
    <t>冷静小</t>
    <phoneticPr fontId="2" type="noConversion"/>
  </si>
  <si>
    <t>识破小</t>
    <phoneticPr fontId="2" type="noConversion"/>
  </si>
  <si>
    <t>提升15%闪避率</t>
    <phoneticPr fontId="2" type="noConversion"/>
  </si>
  <si>
    <t>自己和同列队友提升15%闪避率</t>
    <phoneticPr fontId="2" type="noConversion"/>
  </si>
  <si>
    <t>空</t>
    <phoneticPr fontId="2" type="noConversion"/>
  </si>
  <si>
    <t>InitAddDodge</t>
    <phoneticPr fontId="2" type="noConversion"/>
  </si>
  <si>
    <t>kong</t>
    <phoneticPr fontId="2" type="noConversion"/>
  </si>
  <si>
    <t>空城</t>
    <phoneticPr fontId="2" type="noConversion"/>
  </si>
  <si>
    <t>分兵</t>
    <phoneticPr fontId="2" type="noConversion"/>
  </si>
  <si>
    <t>分</t>
    <phoneticPr fontId="2" type="noConversion"/>
  </si>
  <si>
    <t>被攻击时产生一只有伤害部队</t>
    <phoneticPr fontId="2" type="noConversion"/>
  </si>
  <si>
    <t>被攻击时产生一只无伤害部队</t>
    <phoneticPr fontId="2" type="noConversion"/>
  </si>
  <si>
    <t>fen2</t>
    <phoneticPr fontId="2" type="noConversion"/>
  </si>
  <si>
    <t>fen3</t>
    <phoneticPr fontId="2" type="noConversion"/>
  </si>
  <si>
    <t>分兵小</t>
    <phoneticPr fontId="2" type="noConversion"/>
  </si>
  <si>
    <t>mo</t>
    <phoneticPr fontId="2" type="noConversion"/>
  </si>
  <si>
    <t>魔神</t>
    <phoneticPr fontId="2" type="noConversion"/>
  </si>
  <si>
    <t>魔</t>
    <phoneticPr fontId="2" type="noConversion"/>
  </si>
  <si>
    <t>伏</t>
    <phoneticPr fontId="2" type="noConversion"/>
  </si>
  <si>
    <t>连</t>
    <phoneticPr fontId="2" type="noConversion"/>
  </si>
  <si>
    <t>筵</t>
    <phoneticPr fontId="2" type="noConversion"/>
  </si>
  <si>
    <t>筵</t>
    <phoneticPr fontId="2" type="noConversion"/>
  </si>
  <si>
    <t>BuffExpand</t>
  </si>
  <si>
    <t>InitGold</t>
    <phoneticPr fontId="2" type="noConversion"/>
  </si>
  <si>
    <t>InitFood</t>
    <phoneticPr fontId="2" type="noConversion"/>
  </si>
  <si>
    <t>BuffExpandPos</t>
  </si>
  <si>
    <t>HelpSkillJob</t>
    <phoneticPr fontId="2" type="noConversion"/>
  </si>
  <si>
    <t>鼓乐医</t>
    <phoneticPr fontId="2" type="noConversion"/>
  </si>
  <si>
    <t>同调</t>
    <phoneticPr fontId="2" type="noConversion"/>
  </si>
  <si>
    <t>同调小</t>
    <phoneticPr fontId="2" type="noConversion"/>
  </si>
  <si>
    <t>diao</t>
    <phoneticPr fontId="2" type="noConversion"/>
  </si>
  <si>
    <t>diao2</t>
    <phoneticPr fontId="2" type="noConversion"/>
  </si>
  <si>
    <t>调</t>
    <phoneticPr fontId="2" type="noConversion"/>
  </si>
  <si>
    <t>碉</t>
    <phoneticPr fontId="2" type="noConversion"/>
  </si>
  <si>
    <t>碉</t>
    <phoneticPr fontId="2" type="noConversion"/>
  </si>
  <si>
    <t>ModifySkillRateTime</t>
    <phoneticPr fontId="2" type="noConversion"/>
  </si>
  <si>
    <t>是否针对负面buff</t>
    <phoneticPr fontId="2" type="noConversion"/>
  </si>
  <si>
    <t>NegBuff</t>
    <phoneticPr fontId="2" type="noConversion"/>
  </si>
  <si>
    <t>bool</t>
    <phoneticPr fontId="2" type="noConversion"/>
  </si>
  <si>
    <t>cs</t>
    <phoneticPr fontId="2" type="noConversion"/>
  </si>
  <si>
    <t>true</t>
    <phoneticPr fontId="2" type="noConversion"/>
  </si>
  <si>
    <t>true</t>
    <phoneticPr fontId="2" type="noConversion"/>
  </si>
  <si>
    <t>曲扬</t>
    <phoneticPr fontId="2" type="noConversion"/>
  </si>
  <si>
    <t>qu</t>
    <phoneticPr fontId="2" type="noConversion"/>
  </si>
  <si>
    <t>曲</t>
    <phoneticPr fontId="2" type="noConversion"/>
  </si>
  <si>
    <t>正面祝福状态时间增加50%</t>
    <phoneticPr fontId="2" type="noConversion"/>
  </si>
  <si>
    <t>技能场数</t>
  </si>
  <si>
    <t>技能场范围</t>
  </si>
  <si>
    <t>技能场持续</t>
  </si>
  <si>
    <t>技能场间隔</t>
  </si>
  <si>
    <t>技能场速度</t>
  </si>
  <si>
    <t>降低自己和同行[扇谋相]技能CD时间</t>
  </si>
  <si>
    <t>降低技能CD时间</t>
  </si>
  <si>
    <t>提升技能命中率和持续时间</t>
  </si>
  <si>
    <t>自己和同行[扇谋相]技能负面状态扩散</t>
  </si>
  <si>
    <t>技能负面状态概率扩散</t>
  </si>
  <si>
    <t>自己和同行[鼓乐医]技能正面状态扩散</t>
  </si>
  <si>
    <t>技能正面状态扩散</t>
  </si>
  <si>
    <t>药</t>
    <phoneticPr fontId="2" type="noConversion"/>
  </si>
  <si>
    <t>提升5点生命回复</t>
    <phoneticPr fontId="2" type="noConversion"/>
  </si>
  <si>
    <t>InitAddRege</t>
  </si>
  <si>
    <t>yao</t>
    <phoneticPr fontId="2" type="noConversion"/>
  </si>
  <si>
    <t>复原</t>
    <phoneticPr fontId="2" type="noConversion"/>
  </si>
  <si>
    <t>复</t>
  </si>
  <si>
    <t>复</t>
    <phoneticPr fontId="2" type="noConversion"/>
  </si>
  <si>
    <t>fu2</t>
    <phoneticPr fontId="2" type="noConversion"/>
  </si>
  <si>
    <t>敏</t>
    <phoneticPr fontId="2" type="noConversion"/>
  </si>
  <si>
    <t>敏锐</t>
    <phoneticPr fontId="2" type="noConversion"/>
  </si>
  <si>
    <t>自己和所有队友提升5点生命回复</t>
    <phoneticPr fontId="2" type="noConversion"/>
  </si>
  <si>
    <t>药仙</t>
    <phoneticPr fontId="2" type="noConversion"/>
  </si>
  <si>
    <t>Comment</t>
    <phoneticPr fontId="2" type="noConversion"/>
  </si>
  <si>
    <t>string</t>
    <phoneticPr fontId="2" type="noConversion"/>
  </si>
  <si>
    <t>t</t>
    <phoneticPr fontId="2" type="noConversion"/>
  </si>
  <si>
    <t>备注</t>
    <phoneticPr fontId="2" type="noConversion"/>
  </si>
  <si>
    <t>马车流</t>
    <phoneticPr fontId="2" type="noConversion"/>
  </si>
  <si>
    <t>枪兵流</t>
    <phoneticPr fontId="2" type="noConversion"/>
  </si>
  <si>
    <t>高频法术流</t>
    <phoneticPr fontId="2" type="noConversion"/>
  </si>
  <si>
    <t>群体法术流</t>
  </si>
  <si>
    <t>群体法术流</t>
    <phoneticPr fontId="2" type="noConversion"/>
  </si>
  <si>
    <t>正面buff流</t>
    <phoneticPr fontId="2" type="noConversion"/>
  </si>
  <si>
    <t>增加一个远程士兵并提升射程</t>
    <phoneticPr fontId="2" type="noConversion"/>
  </si>
  <si>
    <t>抗法术</t>
    <phoneticPr fontId="2" type="noConversion"/>
  </si>
  <si>
    <t>抗控制</t>
    <phoneticPr fontId="2" type="noConversion"/>
  </si>
  <si>
    <t>强化生存</t>
    <phoneticPr fontId="2" type="noConversion"/>
  </si>
  <si>
    <t>幻影流</t>
    <phoneticPr fontId="2" type="noConversion"/>
  </si>
  <si>
    <t>弓箭流</t>
    <phoneticPr fontId="2" type="noConversion"/>
  </si>
  <si>
    <t>火计</t>
    <phoneticPr fontId="2" type="noConversion"/>
  </si>
  <si>
    <t>火</t>
    <phoneticPr fontId="2" type="noConversion"/>
  </si>
  <si>
    <t>攻击时对目标放火</t>
    <phoneticPr fontId="2" type="noConversion"/>
  </si>
  <si>
    <t>huo</t>
    <phoneticPr fontId="2" type="noConversion"/>
  </si>
  <si>
    <t>被攻击时瞬移到远程攻击者附近</t>
    <phoneticPr fontId="2" type="noConversion"/>
  </si>
  <si>
    <t>min</t>
    <phoneticPr fontId="2" type="noConversion"/>
  </si>
  <si>
    <t>技能强度伤害比例</t>
    <phoneticPr fontId="2" type="noConversion"/>
  </si>
  <si>
    <t>技能强度属性比例</t>
    <phoneticPr fontId="2" type="noConversion"/>
  </si>
  <si>
    <t>SkillDamageAttrRate</t>
    <phoneticPr fontId="2" type="noConversion"/>
  </si>
  <si>
    <t>HitRegion</t>
    <phoneticPr fontId="2" type="noConversion"/>
  </si>
  <si>
    <t>AidShockWave</t>
    <phoneticPr fontId="2" type="noConversion"/>
  </si>
  <si>
    <t>HelpInitTeach</t>
    <phoneticPr fontId="2" type="noConversion"/>
  </si>
  <si>
    <t>HelpAidHeal</t>
    <phoneticPr fontId="2" type="noConversion"/>
  </si>
  <si>
    <t>BuffTieqi</t>
    <phoneticPr fontId="2" type="noConversion"/>
  </si>
  <si>
    <t>AttackSpinAttack</t>
    <phoneticPr fontId="2" type="noConversion"/>
  </si>
  <si>
    <t>InitMasterShield</t>
    <phoneticPr fontId="2" type="noConversion"/>
  </si>
  <si>
    <t>AttackRunCross</t>
    <phoneticPr fontId="2" type="noConversion"/>
  </si>
  <si>
    <t>AttackRunCrossPlus</t>
    <phoneticPr fontId="2" type="noConversion"/>
  </si>
  <si>
    <t>AttackMultiArrow</t>
    <phoneticPr fontId="2" type="noConversion"/>
  </si>
  <si>
    <t>Buff持续</t>
    <phoneticPr fontId="2" type="noConversion"/>
  </si>
  <si>
    <t>动作</t>
    <phoneticPr fontId="2" type="noConversion"/>
  </si>
  <si>
    <t>string</t>
    <phoneticPr fontId="2" type="noConversion"/>
  </si>
  <si>
    <t>cs</t>
    <phoneticPr fontId="2" type="noConversion"/>
  </si>
  <si>
    <t>技能强度（恒定）</t>
    <phoneticPr fontId="2" type="noConversion"/>
  </si>
  <si>
    <t>技能强度（恒定）</t>
    <phoneticPr fontId="2" type="noConversion"/>
  </si>
  <si>
    <t>技能数值比例</t>
    <phoneticPr fontId="2" type="noConversion"/>
  </si>
  <si>
    <t>SkillAttrRate</t>
    <phoneticPr fontId="2" type="noConversion"/>
  </si>
  <si>
    <t>float</t>
    <phoneticPr fontId="2" type="noConversion"/>
  </si>
  <si>
    <t>cs</t>
    <phoneticPr fontId="2" type="noConversion"/>
  </si>
  <si>
    <t>SkillDamageRate</t>
    <phoneticPr fontId="2" type="noConversion"/>
  </si>
  <si>
    <t>AttackAddDamage</t>
    <phoneticPr fontId="2" type="noConversion"/>
  </si>
  <si>
    <t>InitSoldierUp</t>
    <phoneticPr fontId="2" type="noConversion"/>
  </si>
  <si>
    <t>AttackSpeedAttack</t>
    <phoneticPr fontId="2" type="noConversion"/>
  </si>
  <si>
    <t>AttackReboundArrow</t>
  </si>
  <si>
    <t>AttackReboundArrow</t>
    <phoneticPr fontId="2" type="noConversion"/>
  </si>
  <si>
    <t>inte</t>
    <phoneticPr fontId="2" type="noConversion"/>
  </si>
  <si>
    <t>共杀</t>
    <phoneticPr fontId="2" type="noConversion"/>
  </si>
  <si>
    <t>gong2</t>
    <phoneticPr fontId="2" type="noConversion"/>
  </si>
  <si>
    <t>智力输出</t>
    <phoneticPr fontId="2" type="noConversion"/>
  </si>
  <si>
    <t>共</t>
    <phoneticPr fontId="2" type="noConversion"/>
  </si>
  <si>
    <t>击中目标时触发2次弹射</t>
    <phoneticPr fontId="2" type="noConversion"/>
  </si>
  <si>
    <t>击中目标时触发弹射</t>
    <phoneticPr fontId="2" type="noConversion"/>
  </si>
  <si>
    <t>AxeExplosion</t>
    <phoneticPr fontId="2" type="noConversion"/>
  </si>
  <si>
    <t>fu3</t>
    <phoneticPr fontId="2" type="noConversion"/>
  </si>
  <si>
    <t>飞斧</t>
    <phoneticPr fontId="2" type="noConversion"/>
  </si>
  <si>
    <t>斧</t>
    <phoneticPr fontId="2" type="noConversion"/>
  </si>
  <si>
    <t>扔出飞斧攻击前方敌人</t>
    <phoneticPr fontId="2" type="noConversion"/>
  </si>
  <si>
    <t>惊雷</t>
    <phoneticPr fontId="2" type="noConversion"/>
  </si>
  <si>
    <t>雷</t>
    <phoneticPr fontId="2" type="noConversion"/>
  </si>
  <si>
    <t>召唤3个惊雷攻击前方敌人</t>
    <phoneticPr fontId="2" type="noConversion"/>
  </si>
  <si>
    <t>lei</t>
    <phoneticPr fontId="2" type="noConversion"/>
  </si>
  <si>
    <t>ren</t>
    <phoneticPr fontId="2" type="noConversion"/>
  </si>
  <si>
    <t>InitSoldierShield</t>
    <phoneticPr fontId="2" type="noConversion"/>
  </si>
  <si>
    <t>仁德</t>
    <phoneticPr fontId="2" type="noConversion"/>
  </si>
  <si>
    <t>仁</t>
    <phoneticPr fontId="2" type="noConversion"/>
  </si>
  <si>
    <t>强军</t>
    <phoneticPr fontId="2" type="noConversion"/>
  </si>
  <si>
    <t>强军</t>
    <phoneticPr fontId="2" type="noConversion"/>
  </si>
  <si>
    <t>制衡</t>
    <phoneticPr fontId="2" type="noConversion"/>
  </si>
  <si>
    <t>衡</t>
    <phoneticPr fontId="2" type="noConversion"/>
  </si>
  <si>
    <t>HelpInitTeach</t>
    <phoneticPr fontId="2" type="noConversion"/>
  </si>
  <si>
    <t>HitAttr</t>
    <phoneticPr fontId="2" type="noConversion"/>
  </si>
  <si>
    <t>InitAttrZhiheng</t>
    <phoneticPr fontId="2" type="noConversion"/>
  </si>
  <si>
    <t>heng</t>
    <phoneticPr fontId="2" type="noConversion"/>
  </si>
  <si>
    <t>初始获得我方兵种数为3,4,5时,提升属性10,20,30</t>
    <phoneticPr fontId="2" type="noConversion"/>
  </si>
  <si>
    <t>AttackAntiShield</t>
  </si>
  <si>
    <t>Action</t>
    <phoneticPr fontId="2" type="noConversion"/>
  </si>
  <si>
    <t>攻击护盾敌人时造成额外伤害</t>
    <phoneticPr fontId="2" type="noConversion"/>
  </si>
  <si>
    <t>虐袭</t>
    <phoneticPr fontId="2" type="noConversion"/>
  </si>
  <si>
    <t>虐</t>
    <phoneticPr fontId="2" type="noConversion"/>
  </si>
  <si>
    <t>nue</t>
  </si>
  <si>
    <t>InitSoldierSummon</t>
    <phoneticPr fontId="2" type="noConversion"/>
  </si>
  <si>
    <t>战斗开始时获得金币</t>
    <phoneticPr fontId="2" type="noConversion"/>
  </si>
  <si>
    <t>战斗开始时获得粮食</t>
    <phoneticPr fontId="2" type="noConversion"/>
  </si>
  <si>
    <t>延缓</t>
    <phoneticPr fontId="2" type="noConversion"/>
  </si>
  <si>
    <t>缓</t>
    <phoneticPr fontId="2" type="noConversion"/>
  </si>
  <si>
    <t>inte</t>
    <phoneticPr fontId="2" type="noConversion"/>
  </si>
  <si>
    <t>huan</t>
    <phoneticPr fontId="2" type="noConversion"/>
  </si>
  <si>
    <t>AidSuddenArrow</t>
    <phoneticPr fontId="2" type="noConversion"/>
  </si>
  <si>
    <t>BulletExplosionBlue</t>
    <phoneticPr fontId="2" type="noConversion"/>
  </si>
  <si>
    <t>能够射出箭矢</t>
    <phoneticPr fontId="2" type="noConversion"/>
  </si>
  <si>
    <t>驰羽</t>
    <phoneticPr fontId="2" type="noConversion"/>
  </si>
  <si>
    <t>羽</t>
    <phoneticPr fontId="2" type="noConversion"/>
  </si>
  <si>
    <t>yu</t>
    <phoneticPr fontId="2" type="noConversion"/>
  </si>
  <si>
    <t>攻击时间惩罚</t>
    <phoneticPr fontId="2" type="noConversion"/>
  </si>
  <si>
    <t>float</t>
    <phoneticPr fontId="2" type="noConversion"/>
  </si>
  <si>
    <t>cs</t>
    <phoneticPr fontId="2" type="noConversion"/>
  </si>
  <si>
    <t>给与我方前排士兵12%生命值护盾</t>
    <phoneticPr fontId="2" type="noConversion"/>
  </si>
  <si>
    <t>BuffId</t>
    <phoneticPr fontId="2" type="noConversion"/>
  </si>
  <si>
    <t>乱战</t>
    <phoneticPr fontId="2" type="noConversion"/>
  </si>
  <si>
    <t>攻击晕眩单位造成额外伤害</t>
    <phoneticPr fontId="2" type="noConversion"/>
  </si>
  <si>
    <t>晕眩流</t>
    <phoneticPr fontId="2" type="noConversion"/>
  </si>
  <si>
    <t>luan</t>
    <phoneticPr fontId="2" type="noConversion"/>
  </si>
  <si>
    <t>乱</t>
    <phoneticPr fontId="2" type="noConversion"/>
  </si>
  <si>
    <t>召唤物标签</t>
    <phoneticPr fontId="2" type="noConversion"/>
  </si>
  <si>
    <t>SummonTag</t>
    <phoneticPr fontId="2" type="noConversion"/>
  </si>
  <si>
    <t>雷</t>
    <phoneticPr fontId="2" type="noConversion"/>
  </si>
  <si>
    <t>武</t>
    <phoneticPr fontId="2" type="noConversion"/>
  </si>
  <si>
    <t>雷</t>
    <phoneticPr fontId="2" type="noConversion"/>
  </si>
  <si>
    <t>火焰流</t>
    <phoneticPr fontId="2" type="noConversion"/>
  </si>
  <si>
    <t>提升本方火焰持续时间</t>
    <phoneticPr fontId="2" type="noConversion"/>
  </si>
  <si>
    <t>ModifySummonTime</t>
  </si>
  <si>
    <t>炽热</t>
    <phoneticPr fontId="2" type="noConversion"/>
  </si>
  <si>
    <t>炽</t>
    <phoneticPr fontId="2" type="noConversion"/>
  </si>
  <si>
    <t>chi</t>
    <phoneticPr fontId="2" type="noConversion"/>
  </si>
  <si>
    <t>炽</t>
    <phoneticPr fontId="2" type="noConversion"/>
  </si>
  <si>
    <t>CheckAttrs</t>
    <phoneticPr fontId="2" type="noConversion"/>
  </si>
  <si>
    <t>纷</t>
    <phoneticPr fontId="2" type="noConversion"/>
  </si>
  <si>
    <t>白</t>
    <phoneticPr fontId="2" type="noConversion"/>
  </si>
  <si>
    <t>陷阵</t>
    <phoneticPr fontId="2" type="noConversion"/>
  </si>
  <si>
    <t>攻击几率使目标增伤40%</t>
    <phoneticPr fontId="2" type="noConversion"/>
  </si>
  <si>
    <t>攻击几率使目标减速30%</t>
    <phoneticPr fontId="2" type="noConversion"/>
  </si>
  <si>
    <t>攻击几率使目标陷阵</t>
    <phoneticPr fontId="2" type="noConversion"/>
  </si>
  <si>
    <t>攻击几率使目标溃败</t>
    <phoneticPr fontId="2" type="noConversion"/>
  </si>
  <si>
    <t>溃散</t>
    <phoneticPr fontId="2" type="noConversion"/>
  </si>
  <si>
    <t>溃</t>
    <phoneticPr fontId="2" type="noConversion"/>
  </si>
  <si>
    <t>陷</t>
    <phoneticPr fontId="2" type="noConversion"/>
  </si>
  <si>
    <t>kui</t>
    <phoneticPr fontId="2" type="noConversion"/>
  </si>
  <si>
    <t>xian</t>
    <phoneticPr fontId="2" type="noConversion"/>
  </si>
  <si>
    <t>AttackPointReduce</t>
    <phoneticPr fontId="2" type="noConversion"/>
  </si>
  <si>
    <t>区域</t>
    <phoneticPr fontId="2" type="noConversion"/>
  </si>
  <si>
    <t>string</t>
    <phoneticPr fontId="2" type="noConversion"/>
  </si>
  <si>
    <t>cs</t>
    <phoneticPr fontId="2" type="noConversion"/>
  </si>
  <si>
    <t>自己</t>
    <phoneticPr fontId="2" type="noConversion"/>
  </si>
  <si>
    <t>EffectSelf</t>
    <phoneticPr fontId="2" type="noConversion"/>
  </si>
  <si>
    <t>EffectArea</t>
    <phoneticPr fontId="2" type="noConversion"/>
  </si>
  <si>
    <t>EffectHit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</si>
</sst>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4EC9B0"/>
      <name val="Consolas"/>
      <family val="3"/>
    </font>
    <font>
      <sz val="10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theme="5" tint="-0.249977111117893"/>
      <name val="宋体"/>
      <family val="3"/>
      <charset val="134"/>
    </font>
    <font>
      <sz val="10"/>
      <color rgb="FFCE9178"/>
      <name val="Consolas"/>
      <family val="3"/>
    </font>
  </fonts>
  <fills count="2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DB4F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2" borderId="2" xfId="0" applyFont="1" applyFill="1" applyBorder="1" applyAlignment="1">
      <alignment horizontal="left" textRotation="255" wrapText="1"/>
    </xf>
    <xf numFmtId="0" fontId="1" fillId="7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left"/>
    </xf>
    <xf numFmtId="0" fontId="1" fillId="11" borderId="0" xfId="0" applyFont="1" applyFill="1" applyBorder="1" applyAlignment="1">
      <alignment horizontal="left"/>
    </xf>
    <xf numFmtId="0" fontId="1" fillId="12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0" fontId="1" fillId="14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1" fillId="15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19" borderId="2" xfId="0" applyFont="1" applyFill="1" applyBorder="1" applyAlignment="1">
      <alignment horizontal="left" textRotation="255" wrapText="1"/>
    </xf>
    <xf numFmtId="0" fontId="1" fillId="21" borderId="1" xfId="0" applyFont="1" applyFill="1" applyBorder="1" applyAlignment="1">
      <alignment horizontal="left"/>
    </xf>
    <xf numFmtId="0" fontId="7" fillId="20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7" fillId="17" borderId="2" xfId="0" applyFont="1" applyFill="1" applyBorder="1" applyAlignment="1">
      <alignment horizontal="left" textRotation="255" wrapText="1"/>
    </xf>
    <xf numFmtId="0" fontId="1" fillId="22" borderId="1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13" borderId="3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1" fillId="13" borderId="4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left"/>
    </xf>
    <xf numFmtId="0" fontId="1" fillId="16" borderId="3" xfId="0" applyFont="1" applyFill="1" applyBorder="1" applyAlignment="1">
      <alignment horizontal="left"/>
    </xf>
    <xf numFmtId="0" fontId="1" fillId="18" borderId="0" xfId="0" applyFont="1" applyFill="1" applyBorder="1" applyAlignment="1">
      <alignment horizontal="left"/>
    </xf>
    <xf numFmtId="0" fontId="0" fillId="18" borderId="0" xfId="0" applyFill="1"/>
    <xf numFmtId="0" fontId="1" fillId="18" borderId="3" xfId="0" applyFont="1" applyFill="1" applyBorder="1" applyAlignment="1">
      <alignment horizontal="left"/>
    </xf>
    <xf numFmtId="0" fontId="1" fillId="18" borderId="4" xfId="0" applyFont="1" applyFill="1" applyBorder="1" applyAlignment="1">
      <alignment horizontal="left"/>
    </xf>
    <xf numFmtId="0" fontId="1" fillId="21" borderId="0" xfId="0" applyFont="1" applyFill="1" applyBorder="1" applyAlignment="1">
      <alignment horizontal="left"/>
    </xf>
    <xf numFmtId="0" fontId="1" fillId="21" borderId="3" xfId="0" applyFont="1" applyFill="1" applyBorder="1" applyAlignment="1">
      <alignment horizontal="left"/>
    </xf>
    <xf numFmtId="0" fontId="1" fillId="21" borderId="4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22" borderId="0" xfId="0" applyFont="1" applyFill="1" applyBorder="1" applyAlignment="1">
      <alignment horizontal="left"/>
    </xf>
    <xf numFmtId="0" fontId="1" fillId="22" borderId="3" xfId="0" applyFont="1" applyFill="1" applyBorder="1" applyAlignment="1">
      <alignment horizontal="left"/>
    </xf>
    <xf numFmtId="0" fontId="1" fillId="22" borderId="4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vertical="center"/>
    </xf>
    <xf numFmtId="0" fontId="1" fillId="23" borderId="1" xfId="0" applyFont="1" applyFill="1" applyBorder="1" applyAlignment="1">
      <alignment horizontal="left"/>
    </xf>
    <xf numFmtId="0" fontId="1" fillId="23" borderId="0" xfId="0" applyFont="1" applyFill="1" applyBorder="1" applyAlignment="1">
      <alignment horizontal="left"/>
    </xf>
    <xf numFmtId="0" fontId="1" fillId="23" borderId="3" xfId="0" applyFont="1" applyFill="1" applyBorder="1" applyAlignment="1">
      <alignment horizontal="left"/>
    </xf>
    <xf numFmtId="0" fontId="1" fillId="23" borderId="4" xfId="0" applyFont="1" applyFill="1" applyBorder="1" applyAlignment="1">
      <alignment horizontal="left"/>
    </xf>
    <xf numFmtId="0" fontId="0" fillId="0" borderId="0" xfId="0" applyFill="1"/>
    <xf numFmtId="0" fontId="0" fillId="0" borderId="3" xfId="0" applyFill="1" applyBorder="1"/>
    <xf numFmtId="0" fontId="0" fillId="0" borderId="0" xfId="0" applyFill="1" applyBorder="1"/>
    <xf numFmtId="0" fontId="8" fillId="0" borderId="0" xfId="0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1" fillId="24" borderId="0" xfId="0" applyFont="1" applyFill="1" applyBorder="1" applyAlignment="1">
      <alignment horizontal="left"/>
    </xf>
    <xf numFmtId="0" fontId="1" fillId="24" borderId="3" xfId="0" applyFont="1" applyFill="1" applyBorder="1" applyAlignment="1">
      <alignment horizontal="left"/>
    </xf>
  </cellXfs>
  <cellStyles count="1">
    <cellStyle name="常规" xfId="0" builtinId="0"/>
  </cellStyles>
  <dxfs count="163"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DDB4F6"/>
      <color rgb="FFBE70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Projects\Excel2dll\Run\config\Hero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R1" t="str">
            <v>职业</v>
          </cell>
          <cell r="S1" t="str">
            <v>技能</v>
          </cell>
          <cell r="T1" t="str">
            <v>技能</v>
          </cell>
          <cell r="U1" t="str">
            <v>技能2</v>
          </cell>
        </row>
        <row r="2">
          <cell r="R2" t="str">
            <v>Job</v>
          </cell>
          <cell r="S2" t="str">
            <v>Skills</v>
          </cell>
          <cell r="T2" t="str">
            <v>Skill1</v>
          </cell>
          <cell r="U2" t="str">
            <v>Skill2</v>
          </cell>
        </row>
        <row r="3">
          <cell r="R3" t="str">
            <v>string</v>
          </cell>
          <cell r="S3" t="str">
            <v>int[]</v>
          </cell>
          <cell r="T3" t="str">
            <v>string</v>
          </cell>
          <cell r="U3" t="str">
            <v>string</v>
          </cell>
        </row>
        <row r="4">
          <cell r="R4" t="str">
            <v>cs</v>
          </cell>
          <cell r="S4" t="str">
            <v>cs</v>
          </cell>
          <cell r="T4" t="str">
            <v>cs</v>
          </cell>
          <cell r="U4" t="str">
            <v>cs</v>
          </cell>
        </row>
        <row r="5">
          <cell r="R5" t="str">
            <v>帅</v>
          </cell>
          <cell r="S5"/>
          <cell r="T5" t="str">
            <v>仁</v>
          </cell>
          <cell r="U5"/>
        </row>
        <row r="6">
          <cell r="R6" t="str">
            <v>帅</v>
          </cell>
          <cell r="S6"/>
          <cell r="T6" t="str">
            <v>识</v>
          </cell>
          <cell r="U6"/>
        </row>
        <row r="7">
          <cell r="R7" t="str">
            <v>帅</v>
          </cell>
          <cell r="S7"/>
          <cell r="T7" t="str">
            <v>衡</v>
          </cell>
          <cell r="U7"/>
        </row>
        <row r="8">
          <cell r="R8" t="str">
            <v>帅</v>
          </cell>
          <cell r="S8"/>
          <cell r="T8"/>
          <cell r="U8"/>
        </row>
        <row r="9">
          <cell r="R9" t="str">
            <v>帅</v>
          </cell>
          <cell r="S9"/>
          <cell r="T9"/>
          <cell r="U9"/>
        </row>
        <row r="10">
          <cell r="R10" t="str">
            <v>帅</v>
          </cell>
          <cell r="S10"/>
          <cell r="T10"/>
          <cell r="U10"/>
        </row>
        <row r="11">
          <cell r="R11" t="str">
            <v>马</v>
          </cell>
          <cell r="S11"/>
          <cell r="T11" t="str">
            <v>镜</v>
          </cell>
          <cell r="U11" t="str">
            <v>羽</v>
          </cell>
        </row>
        <row r="12">
          <cell r="R12" t="str">
            <v>枪</v>
          </cell>
          <cell r="S12"/>
          <cell r="T12" t="str">
            <v>威</v>
          </cell>
          <cell r="U12"/>
        </row>
        <row r="13">
          <cell r="R13" t="str">
            <v>马</v>
          </cell>
          <cell r="S13"/>
          <cell r="T13" t="str">
            <v>铁</v>
          </cell>
          <cell r="U13"/>
        </row>
        <row r="14">
          <cell r="R14" t="str">
            <v>谋</v>
          </cell>
          <cell r="S14"/>
          <cell r="T14" t="str">
            <v>神</v>
          </cell>
          <cell r="U14" t="str">
            <v>空</v>
          </cell>
        </row>
        <row r="15">
          <cell r="R15" t="str">
            <v>车</v>
          </cell>
          <cell r="S15"/>
          <cell r="T15" t="str">
            <v>斩</v>
          </cell>
          <cell r="U15"/>
        </row>
        <row r="16">
          <cell r="R16" t="str">
            <v>谋</v>
          </cell>
          <cell r="S16"/>
          <cell r="T16" t="str">
            <v>火</v>
          </cell>
          <cell r="U16" t="str">
            <v>共</v>
          </cell>
        </row>
        <row r="17">
          <cell r="R17" t="str">
            <v>戟</v>
          </cell>
          <cell r="S17"/>
          <cell r="T17" t="str">
            <v>破</v>
          </cell>
          <cell r="U17" t="str">
            <v>乱</v>
          </cell>
        </row>
        <row r="18">
          <cell r="R18" t="str">
            <v>弓</v>
          </cell>
          <cell r="S18"/>
          <cell r="T18" t="str">
            <v>矢</v>
          </cell>
          <cell r="U18" t="str">
            <v>速</v>
          </cell>
        </row>
        <row r="19">
          <cell r="R19" t="str">
            <v>刀</v>
          </cell>
          <cell r="S19"/>
          <cell r="T19" t="str">
            <v>劫</v>
          </cell>
          <cell r="U19"/>
        </row>
        <row r="20">
          <cell r="R20" t="str">
            <v>车</v>
          </cell>
          <cell r="S20"/>
          <cell r="T20" t="str">
            <v>解</v>
          </cell>
          <cell r="U20"/>
        </row>
        <row r="21">
          <cell r="R21" t="str">
            <v>马</v>
          </cell>
          <cell r="S21"/>
          <cell r="T21" t="str">
            <v>坚</v>
          </cell>
          <cell r="U21" t="str">
            <v>羽</v>
          </cell>
        </row>
        <row r="22">
          <cell r="R22" t="str">
            <v>马</v>
          </cell>
          <cell r="S22"/>
          <cell r="T22" t="str">
            <v>奋</v>
          </cell>
        </row>
        <row r="23">
          <cell r="R23" t="str">
            <v>戟</v>
          </cell>
          <cell r="S23"/>
          <cell r="T23" t="str">
            <v>连</v>
          </cell>
        </row>
        <row r="24">
          <cell r="R24" t="str">
            <v>士</v>
          </cell>
          <cell r="S24"/>
          <cell r="T24" t="str">
            <v>敏</v>
          </cell>
          <cell r="U24"/>
        </row>
        <row r="25">
          <cell r="R25" t="str">
            <v>刀</v>
          </cell>
          <cell r="S25"/>
          <cell r="T25" t="str">
            <v>透</v>
          </cell>
          <cell r="U25"/>
        </row>
        <row r="26">
          <cell r="R26" t="str">
            <v>刀</v>
          </cell>
          <cell r="S26"/>
          <cell r="T26" t="str">
            <v>藤</v>
          </cell>
          <cell r="U26"/>
        </row>
        <row r="27">
          <cell r="R27" t="str">
            <v>谋</v>
          </cell>
          <cell r="S27"/>
          <cell r="T27" t="str">
            <v>锁</v>
          </cell>
          <cell r="U27" t="str">
            <v>火</v>
          </cell>
        </row>
        <row r="28">
          <cell r="R28" t="str">
            <v>士</v>
          </cell>
          <cell r="S28"/>
          <cell r="T28" t="str">
            <v>实</v>
          </cell>
        </row>
        <row r="29">
          <cell r="R29" t="str">
            <v>枪</v>
          </cell>
          <cell r="S29"/>
          <cell r="T29" t="str">
            <v>乱</v>
          </cell>
        </row>
        <row r="30">
          <cell r="R30" t="str">
            <v>扇</v>
          </cell>
          <cell r="S30"/>
          <cell r="T30"/>
        </row>
        <row r="31">
          <cell r="R31" t="str">
            <v>弩</v>
          </cell>
          <cell r="S31"/>
          <cell r="T31"/>
        </row>
        <row r="32">
          <cell r="R32" t="str">
            <v>弓</v>
          </cell>
          <cell r="S32"/>
          <cell r="T32" t="str">
            <v>破</v>
          </cell>
        </row>
        <row r="33">
          <cell r="R33" t="str">
            <v>相</v>
          </cell>
          <cell r="S33"/>
          <cell r="T33"/>
          <cell r="U33"/>
        </row>
        <row r="34">
          <cell r="R34" t="str">
            <v>鼓</v>
          </cell>
          <cell r="S34"/>
          <cell r="T34" t="str">
            <v>白</v>
          </cell>
          <cell r="U34"/>
        </row>
        <row r="35">
          <cell r="R35" t="str">
            <v>相</v>
          </cell>
          <cell r="S35"/>
          <cell r="T35" t="str">
            <v>励</v>
          </cell>
          <cell r="U35"/>
        </row>
        <row r="36">
          <cell r="R36" t="str">
            <v>谋</v>
          </cell>
          <cell r="S36"/>
          <cell r="T36" t="str">
            <v>百</v>
          </cell>
          <cell r="U36"/>
        </row>
        <row r="37">
          <cell r="R37" t="str">
            <v>扇</v>
          </cell>
          <cell r="S37"/>
          <cell r="T37" t="str">
            <v>米</v>
          </cell>
          <cell r="U37"/>
        </row>
        <row r="38">
          <cell r="R38" t="str">
            <v>戟</v>
          </cell>
          <cell r="S38"/>
          <cell r="T38" t="str">
            <v>伏</v>
          </cell>
          <cell r="U38" t="str">
            <v>坚</v>
          </cell>
        </row>
        <row r="39">
          <cell r="R39" t="str">
            <v>枪</v>
          </cell>
          <cell r="S39"/>
          <cell r="T39" t="str">
            <v>境</v>
          </cell>
          <cell r="U39"/>
        </row>
        <row r="40">
          <cell r="R40" t="str">
            <v>鼓</v>
          </cell>
          <cell r="S40"/>
          <cell r="T40" t="str">
            <v>陷</v>
          </cell>
          <cell r="U40"/>
        </row>
        <row r="41">
          <cell r="R41" t="str">
            <v>相</v>
          </cell>
          <cell r="S41"/>
          <cell r="T41" t="str">
            <v>静</v>
          </cell>
          <cell r="U41"/>
        </row>
        <row r="42">
          <cell r="R42" t="str">
            <v>炮</v>
          </cell>
          <cell r="S42"/>
          <cell r="T42"/>
          <cell r="U42"/>
        </row>
        <row r="43">
          <cell r="R43" t="str">
            <v>谋</v>
          </cell>
          <cell r="S43"/>
          <cell r="T43" t="str">
            <v>溃</v>
          </cell>
          <cell r="U43"/>
        </row>
        <row r="44">
          <cell r="R44" t="str">
            <v>鼓</v>
          </cell>
          <cell r="S44"/>
          <cell r="T44" t="str">
            <v>碉</v>
          </cell>
        </row>
        <row r="45">
          <cell r="R45" t="str">
            <v>刀</v>
          </cell>
          <cell r="S45"/>
          <cell r="T45" t="str">
            <v>藤</v>
          </cell>
          <cell r="U45"/>
        </row>
        <row r="46">
          <cell r="R46" t="str">
            <v>枪</v>
          </cell>
          <cell r="S46"/>
          <cell r="T46" t="str">
            <v>缓</v>
          </cell>
          <cell r="U46"/>
        </row>
        <row r="47">
          <cell r="R47" t="str">
            <v>弓</v>
          </cell>
          <cell r="S47"/>
          <cell r="T47" t="str">
            <v>乱</v>
          </cell>
          <cell r="U47"/>
        </row>
        <row r="48">
          <cell r="R48" t="str">
            <v>弩</v>
          </cell>
          <cell r="S48"/>
          <cell r="T48"/>
          <cell r="U48"/>
        </row>
        <row r="49">
          <cell r="R49" t="str">
            <v>戟</v>
          </cell>
          <cell r="S49"/>
          <cell r="T49" t="str">
            <v>境</v>
          </cell>
          <cell r="U49"/>
        </row>
        <row r="50">
          <cell r="R50" t="str">
            <v>扇</v>
          </cell>
          <cell r="S50"/>
          <cell r="T50" t="str">
            <v>纷</v>
          </cell>
          <cell r="U50"/>
        </row>
        <row r="51">
          <cell r="R51" t="str">
            <v>谋</v>
          </cell>
          <cell r="S51"/>
          <cell r="T51" t="str">
            <v>天</v>
          </cell>
          <cell r="U51"/>
        </row>
        <row r="52">
          <cell r="R52" t="str">
            <v>车</v>
          </cell>
          <cell r="S52"/>
          <cell r="T52" t="str">
            <v>青</v>
          </cell>
          <cell r="U52"/>
        </row>
        <row r="53">
          <cell r="R53" t="str">
            <v>相</v>
          </cell>
          <cell r="S53"/>
          <cell r="T53" t="str">
            <v>国</v>
          </cell>
          <cell r="U53"/>
        </row>
        <row r="54">
          <cell r="R54" t="str">
            <v>马</v>
          </cell>
          <cell r="S54"/>
          <cell r="T54" t="str">
            <v>旋</v>
          </cell>
          <cell r="U54"/>
        </row>
        <row r="55">
          <cell r="R55" t="str">
            <v>士</v>
          </cell>
          <cell r="S55"/>
          <cell r="T55" t="str">
            <v>斧</v>
          </cell>
          <cell r="U55"/>
        </row>
        <row r="56">
          <cell r="R56" t="str">
            <v>弓</v>
          </cell>
          <cell r="S56"/>
          <cell r="T56" t="str">
            <v>雨</v>
          </cell>
          <cell r="U56"/>
        </row>
        <row r="57">
          <cell r="R57" t="str">
            <v>士</v>
          </cell>
          <cell r="S57"/>
          <cell r="T57" t="str">
            <v>护</v>
          </cell>
          <cell r="U57"/>
        </row>
        <row r="58">
          <cell r="R58" t="str">
            <v>车</v>
          </cell>
          <cell r="S58"/>
          <cell r="T58" t="str">
            <v>分</v>
          </cell>
          <cell r="U58"/>
        </row>
        <row r="59">
          <cell r="R59" t="str">
            <v>弓</v>
          </cell>
          <cell r="S59"/>
          <cell r="T59" t="str">
            <v>连</v>
          </cell>
          <cell r="U59"/>
        </row>
        <row r="60">
          <cell r="R60" t="str">
            <v>谋</v>
          </cell>
          <cell r="S60"/>
          <cell r="T60" t="str">
            <v>百</v>
          </cell>
          <cell r="U60" t="str">
            <v>米</v>
          </cell>
        </row>
        <row r="61">
          <cell r="R61" t="str">
            <v>戟</v>
          </cell>
          <cell r="S61"/>
          <cell r="T61" t="str">
            <v>青</v>
          </cell>
          <cell r="U61" t="str">
            <v>破</v>
          </cell>
        </row>
        <row r="62">
          <cell r="R62" t="str">
            <v>枪</v>
          </cell>
          <cell r="S62"/>
          <cell r="T62" t="str">
            <v>青</v>
          </cell>
          <cell r="U62"/>
        </row>
        <row r="63">
          <cell r="R63" t="str">
            <v>枪</v>
          </cell>
          <cell r="S63"/>
          <cell r="T63" t="str">
            <v>商</v>
          </cell>
          <cell r="U63"/>
        </row>
        <row r="64">
          <cell r="R64" t="str">
            <v>枪</v>
          </cell>
          <cell r="S64"/>
          <cell r="T64" t="str">
            <v>坚</v>
          </cell>
          <cell r="U64"/>
        </row>
        <row r="65">
          <cell r="R65" t="str">
            <v>戟</v>
          </cell>
          <cell r="S65"/>
          <cell r="T65" t="str">
            <v>奋</v>
          </cell>
          <cell r="U65"/>
        </row>
        <row r="66">
          <cell r="R66" t="str">
            <v>戟</v>
          </cell>
          <cell r="S66"/>
          <cell r="T66" t="str">
            <v>透</v>
          </cell>
          <cell r="U66" t="str">
            <v>劫</v>
          </cell>
        </row>
        <row r="67">
          <cell r="R67" t="str">
            <v>弓</v>
          </cell>
          <cell r="S67"/>
          <cell r="T67"/>
          <cell r="U67"/>
        </row>
        <row r="68">
          <cell r="R68" t="str">
            <v>谋</v>
          </cell>
          <cell r="S68"/>
          <cell r="T68" t="str">
            <v>鬼</v>
          </cell>
          <cell r="U68"/>
        </row>
        <row r="69">
          <cell r="R69" t="str">
            <v>戟</v>
          </cell>
          <cell r="S69"/>
          <cell r="T69" t="str">
            <v>连</v>
          </cell>
          <cell r="U69"/>
        </row>
        <row r="70">
          <cell r="R70" t="str">
            <v>枪</v>
          </cell>
          <cell r="S70"/>
          <cell r="T70" t="str">
            <v>坚</v>
          </cell>
          <cell r="U70"/>
        </row>
        <row r="71">
          <cell r="R71" t="str">
            <v>枪</v>
          </cell>
          <cell r="S71"/>
          <cell r="T71" t="str">
            <v>透</v>
          </cell>
          <cell r="U71"/>
        </row>
        <row r="72">
          <cell r="R72" t="str">
            <v>谋</v>
          </cell>
          <cell r="S72"/>
          <cell r="T72" t="str">
            <v>识</v>
          </cell>
          <cell r="U72" t="str">
            <v>火</v>
          </cell>
        </row>
        <row r="73">
          <cell r="R73" t="str">
            <v>相</v>
          </cell>
          <cell r="S73"/>
          <cell r="T73" t="str">
            <v>虐</v>
          </cell>
        </row>
        <row r="74">
          <cell r="R74" t="str">
            <v>刀</v>
          </cell>
          <cell r="S74"/>
          <cell r="T74" t="str">
            <v>伏</v>
          </cell>
        </row>
        <row r="75">
          <cell r="R75" t="str">
            <v>弓</v>
          </cell>
          <cell r="S75"/>
          <cell r="T75" t="str">
            <v>速</v>
          </cell>
        </row>
        <row r="76">
          <cell r="R76" t="str">
            <v>戟</v>
          </cell>
          <cell r="S76"/>
          <cell r="T76" t="str">
            <v>境</v>
          </cell>
        </row>
        <row r="77">
          <cell r="R77" t="str">
            <v>扇</v>
          </cell>
          <cell r="S77"/>
          <cell r="T77" t="str">
            <v>励</v>
          </cell>
          <cell r="U77" t="str">
            <v>米</v>
          </cell>
        </row>
        <row r="78">
          <cell r="R78" t="str">
            <v>枪</v>
          </cell>
          <cell r="S78"/>
          <cell r="T78" t="str">
            <v>伏</v>
          </cell>
          <cell r="U78" t="str">
            <v>坚</v>
          </cell>
        </row>
        <row r="79">
          <cell r="R79" t="str">
            <v>刀</v>
          </cell>
          <cell r="S79"/>
          <cell r="T79" t="str">
            <v>敏</v>
          </cell>
          <cell r="U79"/>
        </row>
        <row r="80">
          <cell r="R80" t="str">
            <v>扇</v>
          </cell>
          <cell r="S80"/>
          <cell r="T80" t="str">
            <v>虐</v>
          </cell>
          <cell r="U80"/>
        </row>
        <row r="81">
          <cell r="R81" t="str">
            <v>炮</v>
          </cell>
          <cell r="S81"/>
          <cell r="T81"/>
          <cell r="U81"/>
        </row>
        <row r="82">
          <cell r="R82" t="str">
            <v>炮</v>
          </cell>
          <cell r="S82"/>
        </row>
        <row r="83">
          <cell r="R83" t="str">
            <v>枪</v>
          </cell>
          <cell r="S83"/>
          <cell r="T83" t="str">
            <v>青</v>
          </cell>
          <cell r="U83"/>
        </row>
        <row r="84">
          <cell r="R84" t="str">
            <v>刀</v>
          </cell>
          <cell r="S84"/>
          <cell r="T84" t="str">
            <v>劫</v>
          </cell>
          <cell r="U84"/>
        </row>
        <row r="85">
          <cell r="R85" t="str">
            <v>士</v>
          </cell>
          <cell r="S85"/>
          <cell r="T85"/>
          <cell r="U85"/>
        </row>
        <row r="86">
          <cell r="R86" t="str">
            <v>戟</v>
          </cell>
          <cell r="S86"/>
          <cell r="T86" t="str">
            <v>敏</v>
          </cell>
          <cell r="U86"/>
        </row>
        <row r="87">
          <cell r="R87" t="str">
            <v>相</v>
          </cell>
          <cell r="S87"/>
          <cell r="T87" t="str">
            <v>米</v>
          </cell>
          <cell r="U87"/>
        </row>
        <row r="88">
          <cell r="R88" t="str">
            <v>戟</v>
          </cell>
          <cell r="S88"/>
          <cell r="T88" t="str">
            <v>连</v>
          </cell>
          <cell r="U88"/>
        </row>
        <row r="89">
          <cell r="R89" t="str">
            <v>扇</v>
          </cell>
          <cell r="S89"/>
          <cell r="T89" t="str">
            <v>米</v>
          </cell>
          <cell r="U89"/>
        </row>
        <row r="90">
          <cell r="R90" t="str">
            <v>鼓</v>
          </cell>
          <cell r="S90"/>
          <cell r="T90" t="str">
            <v>米</v>
          </cell>
          <cell r="U90"/>
        </row>
        <row r="91">
          <cell r="R91" t="str">
            <v>鼓</v>
          </cell>
          <cell r="S91"/>
          <cell r="T91" t="str">
            <v>白</v>
          </cell>
        </row>
        <row r="92">
          <cell r="R92" t="str">
            <v>谋</v>
          </cell>
          <cell r="S92"/>
          <cell r="T92" t="str">
            <v>陷</v>
          </cell>
        </row>
        <row r="93">
          <cell r="R93" t="str">
            <v>枪</v>
          </cell>
          <cell r="S93"/>
          <cell r="T93" t="str">
            <v>旋</v>
          </cell>
          <cell r="U93"/>
        </row>
        <row r="94">
          <cell r="R94" t="str">
            <v>车</v>
          </cell>
          <cell r="S94"/>
          <cell r="T94" t="str">
            <v>虎</v>
          </cell>
          <cell r="U94"/>
        </row>
        <row r="95">
          <cell r="R95" t="str">
            <v>弓</v>
          </cell>
          <cell r="S95"/>
          <cell r="T95" t="str">
            <v>连</v>
          </cell>
          <cell r="U95"/>
        </row>
        <row r="96">
          <cell r="R96" t="str">
            <v>弓</v>
          </cell>
          <cell r="S96"/>
          <cell r="T96" t="str">
            <v>雨</v>
          </cell>
          <cell r="U96"/>
        </row>
        <row r="97">
          <cell r="R97" t="str">
            <v>士</v>
          </cell>
          <cell r="S97"/>
          <cell r="T97" t="str">
            <v>奋</v>
          </cell>
          <cell r="U97"/>
        </row>
        <row r="98">
          <cell r="R98" t="str">
            <v>枪</v>
          </cell>
          <cell r="S98"/>
          <cell r="T98" t="str">
            <v>连</v>
          </cell>
          <cell r="U98"/>
        </row>
        <row r="99">
          <cell r="R99" t="str">
            <v>相</v>
          </cell>
          <cell r="S99"/>
          <cell r="T99" t="str">
            <v>商</v>
          </cell>
          <cell r="U99" t="str">
            <v>雷</v>
          </cell>
        </row>
        <row r="100">
          <cell r="R100" t="str">
            <v>谋</v>
          </cell>
          <cell r="S100"/>
          <cell r="T100" t="str">
            <v>炎</v>
          </cell>
          <cell r="U100" t="str">
            <v>炽</v>
          </cell>
        </row>
        <row r="101">
          <cell r="R101" t="str">
            <v>戟</v>
          </cell>
          <cell r="S101"/>
          <cell r="T101"/>
          <cell r="U101"/>
        </row>
        <row r="102">
          <cell r="R102" t="str">
            <v>马</v>
          </cell>
          <cell r="S102"/>
          <cell r="T102" t="str">
            <v>学</v>
          </cell>
          <cell r="U102" t="str">
            <v>羽</v>
          </cell>
        </row>
        <row r="103">
          <cell r="R103" t="str">
            <v>谋</v>
          </cell>
          <cell r="S103"/>
          <cell r="T103" t="str">
            <v>炎</v>
          </cell>
          <cell r="U103"/>
        </row>
        <row r="104">
          <cell r="R104" t="str">
            <v>相</v>
          </cell>
          <cell r="S104"/>
          <cell r="T104"/>
          <cell r="U104"/>
        </row>
        <row r="105">
          <cell r="R105" t="str">
            <v>扇</v>
          </cell>
          <cell r="S105"/>
          <cell r="T105" t="str">
            <v>励</v>
          </cell>
          <cell r="U105"/>
        </row>
        <row r="106">
          <cell r="R106" t="str">
            <v>弓</v>
          </cell>
          <cell r="S106"/>
          <cell r="T106"/>
          <cell r="U106"/>
        </row>
        <row r="107">
          <cell r="R107" t="str">
            <v>枪</v>
          </cell>
          <cell r="S107"/>
          <cell r="T107" t="str">
            <v>伏</v>
          </cell>
          <cell r="U107" t="str">
            <v>缓</v>
          </cell>
        </row>
        <row r="108">
          <cell r="R108" t="str">
            <v>乐</v>
          </cell>
          <cell r="S108"/>
          <cell r="T108" t="str">
            <v>碉</v>
          </cell>
          <cell r="U108" t="str">
            <v>陷</v>
          </cell>
        </row>
        <row r="109">
          <cell r="R109" t="str">
            <v>乐</v>
          </cell>
          <cell r="S109"/>
          <cell r="T109" t="str">
            <v>曲</v>
          </cell>
          <cell r="U109" t="str">
            <v>陷</v>
          </cell>
        </row>
        <row r="110">
          <cell r="R110" t="str">
            <v>炮</v>
          </cell>
          <cell r="S110"/>
          <cell r="T110"/>
          <cell r="U110"/>
        </row>
        <row r="111">
          <cell r="R111" t="str">
            <v>刀</v>
          </cell>
          <cell r="S111"/>
          <cell r="T111" t="str">
            <v>透</v>
          </cell>
        </row>
        <row r="112">
          <cell r="R112" t="str">
            <v>弩</v>
          </cell>
          <cell r="S112"/>
          <cell r="T112" t="str">
            <v>虐</v>
          </cell>
        </row>
        <row r="113">
          <cell r="R113" t="str">
            <v>戟</v>
          </cell>
          <cell r="S113"/>
          <cell r="T113" t="str">
            <v>刺</v>
          </cell>
          <cell r="U113" t="str">
            <v>虐</v>
          </cell>
        </row>
        <row r="114">
          <cell r="R114" t="str">
            <v>弓</v>
          </cell>
          <cell r="S114"/>
          <cell r="T114" t="str">
            <v>敏</v>
          </cell>
          <cell r="U114"/>
        </row>
        <row r="115">
          <cell r="R115" t="str">
            <v>士</v>
          </cell>
          <cell r="S115"/>
          <cell r="T115" t="str">
            <v>乱</v>
          </cell>
          <cell r="U115"/>
        </row>
        <row r="116">
          <cell r="R116" t="str">
            <v>戟</v>
          </cell>
          <cell r="S116"/>
          <cell r="T116" t="str">
            <v>实</v>
          </cell>
          <cell r="U116" t="str">
            <v>奋</v>
          </cell>
        </row>
        <row r="117">
          <cell r="R117" t="str">
            <v>相</v>
          </cell>
          <cell r="S117"/>
          <cell r="T117" t="str">
            <v>励</v>
          </cell>
          <cell r="U117"/>
        </row>
        <row r="118">
          <cell r="R118" t="str">
            <v>扇</v>
          </cell>
          <cell r="S118"/>
          <cell r="T118" t="str">
            <v>连</v>
          </cell>
          <cell r="U118"/>
        </row>
        <row r="119">
          <cell r="R119" t="str">
            <v>鼓</v>
          </cell>
          <cell r="S119"/>
          <cell r="T119" t="str">
            <v>励</v>
          </cell>
          <cell r="U119"/>
        </row>
        <row r="120">
          <cell r="R120" t="str">
            <v>谋</v>
          </cell>
          <cell r="S120"/>
          <cell r="T120" t="str">
            <v>炽</v>
          </cell>
          <cell r="U120"/>
        </row>
        <row r="121">
          <cell r="R121" t="str">
            <v>戟</v>
          </cell>
          <cell r="S121"/>
          <cell r="T121" t="str">
            <v>奋</v>
          </cell>
          <cell r="U121"/>
        </row>
        <row r="122">
          <cell r="R122" t="str">
            <v>弩</v>
          </cell>
          <cell r="S122"/>
          <cell r="T122" t="str">
            <v>透</v>
          </cell>
          <cell r="U122"/>
        </row>
        <row r="123">
          <cell r="R123" t="str">
            <v>谋</v>
          </cell>
          <cell r="S123"/>
          <cell r="T123" t="str">
            <v>缓</v>
          </cell>
          <cell r="U123"/>
        </row>
        <row r="124">
          <cell r="R124" t="str">
            <v>刀</v>
          </cell>
          <cell r="S124"/>
          <cell r="T124" t="str">
            <v>复</v>
          </cell>
          <cell r="U124"/>
        </row>
        <row r="125">
          <cell r="R125" t="str">
            <v>戟</v>
          </cell>
          <cell r="S125"/>
          <cell r="T125" t="str">
            <v>实</v>
          </cell>
          <cell r="U125"/>
        </row>
        <row r="126">
          <cell r="R126" t="str">
            <v>枪</v>
          </cell>
          <cell r="S126"/>
          <cell r="T126" t="str">
            <v>劫</v>
          </cell>
          <cell r="U126"/>
        </row>
        <row r="127">
          <cell r="R127" t="str">
            <v>枪</v>
          </cell>
          <cell r="S127"/>
          <cell r="T127" t="str">
            <v>竟</v>
          </cell>
          <cell r="U127"/>
        </row>
        <row r="128">
          <cell r="R128" t="str">
            <v>戟</v>
          </cell>
          <cell r="S128"/>
          <cell r="T128" t="str">
            <v>破</v>
          </cell>
          <cell r="U128"/>
        </row>
        <row r="129">
          <cell r="R129" t="str">
            <v>戟</v>
          </cell>
          <cell r="S129"/>
          <cell r="T129" t="str">
            <v>竟</v>
          </cell>
          <cell r="U129"/>
        </row>
        <row r="130">
          <cell r="R130" t="str">
            <v>扇</v>
          </cell>
          <cell r="S130"/>
          <cell r="T130" t="str">
            <v>虐</v>
          </cell>
          <cell r="U130"/>
        </row>
        <row r="131">
          <cell r="R131" t="str">
            <v>车</v>
          </cell>
          <cell r="S131"/>
          <cell r="T131" t="str">
            <v>魔</v>
          </cell>
          <cell r="U131" t="str">
            <v>羽</v>
          </cell>
        </row>
        <row r="132">
          <cell r="R132" t="str">
            <v>车</v>
          </cell>
          <cell r="S132"/>
          <cell r="T132" t="str">
            <v>纷</v>
          </cell>
          <cell r="U132"/>
        </row>
        <row r="133">
          <cell r="R133" t="str">
            <v>谋</v>
          </cell>
          <cell r="S133"/>
          <cell r="T133" t="str">
            <v>延</v>
          </cell>
          <cell r="U133"/>
        </row>
        <row r="134">
          <cell r="R134" t="str">
            <v>乐</v>
          </cell>
          <cell r="S134"/>
          <cell r="T134" t="str">
            <v>曲</v>
          </cell>
          <cell r="U134"/>
        </row>
        <row r="135">
          <cell r="R135" t="str">
            <v>马</v>
          </cell>
          <cell r="S135"/>
          <cell r="T135" t="str">
            <v>虐</v>
          </cell>
          <cell r="U135"/>
        </row>
        <row r="136">
          <cell r="R136" t="str">
            <v>炮</v>
          </cell>
          <cell r="S136"/>
          <cell r="T136"/>
          <cell r="U136"/>
        </row>
        <row r="137">
          <cell r="R137" t="str">
            <v>谋</v>
          </cell>
          <cell r="S137"/>
          <cell r="T137" t="str">
            <v>火</v>
          </cell>
          <cell r="U137"/>
        </row>
        <row r="138">
          <cell r="R138" t="str">
            <v>刀</v>
          </cell>
          <cell r="S138"/>
          <cell r="T138" t="str">
            <v>劫</v>
          </cell>
          <cell r="U138"/>
        </row>
        <row r="139">
          <cell r="R139" t="str">
            <v>刀</v>
          </cell>
          <cell r="S139"/>
          <cell r="T139" t="str">
            <v>劫</v>
          </cell>
        </row>
        <row r="140">
          <cell r="R140" t="str">
            <v>谋</v>
          </cell>
          <cell r="S140"/>
          <cell r="T140" t="str">
            <v>励</v>
          </cell>
          <cell r="U140" t="str">
            <v>溃</v>
          </cell>
        </row>
        <row r="141">
          <cell r="R141" t="str">
            <v>枪</v>
          </cell>
          <cell r="S141"/>
          <cell r="T141" t="str">
            <v>奇</v>
          </cell>
        </row>
        <row r="142">
          <cell r="R142" t="str">
            <v>相</v>
          </cell>
          <cell r="S142"/>
        </row>
        <row r="143">
          <cell r="R143" t="str">
            <v>相</v>
          </cell>
          <cell r="S143"/>
          <cell r="T143" t="str">
            <v>溃</v>
          </cell>
        </row>
        <row r="144">
          <cell r="R144" t="str">
            <v>戟</v>
          </cell>
          <cell r="S144"/>
          <cell r="T144" t="str">
            <v>敏</v>
          </cell>
        </row>
        <row r="145">
          <cell r="R145" t="str">
            <v>谋</v>
          </cell>
          <cell r="S145"/>
          <cell r="T145" t="str">
            <v>缓</v>
          </cell>
        </row>
        <row r="146">
          <cell r="R146" t="str">
            <v>士</v>
          </cell>
          <cell r="S146"/>
          <cell r="T146" t="str">
            <v>虐</v>
          </cell>
        </row>
        <row r="147">
          <cell r="R147" t="str">
            <v>相</v>
          </cell>
          <cell r="S147"/>
          <cell r="T147" t="str">
            <v>米</v>
          </cell>
        </row>
        <row r="148">
          <cell r="R148" t="str">
            <v>戟</v>
          </cell>
          <cell r="S148"/>
          <cell r="T148" t="str">
            <v>敏</v>
          </cell>
        </row>
        <row r="149">
          <cell r="R149" t="str">
            <v>扇</v>
          </cell>
          <cell r="S149"/>
          <cell r="T149" t="str">
            <v>缓</v>
          </cell>
        </row>
        <row r="150">
          <cell r="R150" t="str">
            <v>车</v>
          </cell>
          <cell r="S150"/>
          <cell r="T150" t="str">
            <v>破</v>
          </cell>
          <cell r="U150"/>
        </row>
        <row r="151">
          <cell r="R151" t="str">
            <v>车</v>
          </cell>
          <cell r="S151"/>
          <cell r="T151" t="str">
            <v>刺</v>
          </cell>
          <cell r="U151"/>
        </row>
        <row r="152">
          <cell r="R152" t="str">
            <v>谋</v>
          </cell>
          <cell r="S152"/>
          <cell r="T152" t="str">
            <v>雷</v>
          </cell>
          <cell r="U152"/>
        </row>
        <row r="153">
          <cell r="R153" t="str">
            <v>弓</v>
          </cell>
          <cell r="S153"/>
          <cell r="T153"/>
          <cell r="U153"/>
        </row>
        <row r="154">
          <cell r="R154" t="str">
            <v>谋</v>
          </cell>
          <cell r="S154"/>
          <cell r="T154" t="str">
            <v>火</v>
          </cell>
          <cell r="U154"/>
        </row>
        <row r="155">
          <cell r="R155" t="str">
            <v>枪</v>
          </cell>
          <cell r="S155"/>
          <cell r="T155"/>
          <cell r="U155"/>
        </row>
        <row r="156">
          <cell r="R156" t="str">
            <v>谋</v>
          </cell>
          <cell r="S156"/>
          <cell r="T156" t="str">
            <v>静</v>
          </cell>
          <cell r="U156"/>
        </row>
        <row r="157">
          <cell r="R157" t="str">
            <v>扇</v>
          </cell>
          <cell r="S157"/>
          <cell r="T157" t="str">
            <v>励</v>
          </cell>
          <cell r="U157" t="str">
            <v>米</v>
          </cell>
        </row>
        <row r="158">
          <cell r="R158" t="str">
            <v>马</v>
          </cell>
          <cell r="S158"/>
          <cell r="T158" t="str">
            <v>乱</v>
          </cell>
          <cell r="U158"/>
        </row>
        <row r="159">
          <cell r="R159" t="str">
            <v>弓</v>
          </cell>
          <cell r="S159"/>
          <cell r="T159" t="str">
            <v>复</v>
          </cell>
          <cell r="U159"/>
        </row>
        <row r="160">
          <cell r="R160" t="str">
            <v>医</v>
          </cell>
          <cell r="S160"/>
          <cell r="T160" t="str">
            <v>药</v>
          </cell>
          <cell r="U160"/>
        </row>
        <row r="161">
          <cell r="R161" t="str">
            <v>戟</v>
          </cell>
          <cell r="S161"/>
          <cell r="T161"/>
          <cell r="U161"/>
        </row>
        <row r="162">
          <cell r="R162" t="str">
            <v>马</v>
          </cell>
          <cell r="S162"/>
          <cell r="T162" t="str">
            <v>羽</v>
          </cell>
          <cell r="U162"/>
        </row>
        <row r="163">
          <cell r="R163" t="str">
            <v>医</v>
          </cell>
          <cell r="S163"/>
          <cell r="T163" t="str">
            <v>调</v>
          </cell>
          <cell r="U163"/>
        </row>
        <row r="164">
          <cell r="R164" t="str">
            <v>谋</v>
          </cell>
          <cell r="S164"/>
          <cell r="T164" t="str">
            <v>天</v>
          </cell>
          <cell r="U164" t="str">
            <v>陷</v>
          </cell>
        </row>
        <row r="165">
          <cell r="R165" t="str">
            <v>枪</v>
          </cell>
          <cell r="S165"/>
          <cell r="T165" t="str">
            <v>劫</v>
          </cell>
          <cell r="U165"/>
        </row>
        <row r="166">
          <cell r="R166" t="str">
            <v>炮</v>
          </cell>
          <cell r="S166"/>
          <cell r="T166"/>
          <cell r="U166"/>
        </row>
        <row r="167">
          <cell r="R167" t="str">
            <v>马</v>
          </cell>
          <cell r="S167"/>
          <cell r="T167" t="str">
            <v>乱</v>
          </cell>
          <cell r="U167"/>
        </row>
        <row r="168">
          <cell r="R168" t="str">
            <v>枪</v>
          </cell>
          <cell r="S168"/>
          <cell r="T168"/>
          <cell r="U168"/>
        </row>
        <row r="169">
          <cell r="R169" t="str">
            <v>乐</v>
          </cell>
          <cell r="S169"/>
          <cell r="T169" t="str">
            <v>碉</v>
          </cell>
          <cell r="U169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4"/>
  <sheetViews>
    <sheetView tabSelected="1" workbookViewId="0">
      <pane xSplit="3" ySplit="4" topLeftCell="D18" activePane="bottomRight" state="frozen"/>
      <selection pane="topRight" activeCell="D1" sqref="D1"/>
      <selection pane="bottomLeft" activeCell="A5" sqref="A5"/>
      <selection pane="bottomRight" activeCell="AO40" sqref="AO40"/>
    </sheetView>
  </sheetViews>
  <sheetFormatPr defaultRowHeight="14.25" x14ac:dyDescent="0.2"/>
  <cols>
    <col min="1" max="1" width="9.5" bestFit="1" customWidth="1"/>
    <col min="2" max="2" width="8.25" customWidth="1"/>
    <col min="3" max="3" width="6.25" customWidth="1"/>
    <col min="4" max="4" width="9.25" customWidth="1"/>
    <col min="5" max="5" width="27.125" customWidth="1"/>
    <col min="6" max="6" width="8.125" customWidth="1"/>
    <col min="7" max="7" width="6.375" customWidth="1"/>
    <col min="8" max="11" width="7.125" customWidth="1"/>
    <col min="12" max="13" width="6.75" customWidth="1"/>
    <col min="14" max="14" width="6.375" customWidth="1"/>
    <col min="15" max="16" width="5.625" customWidth="1"/>
    <col min="17" max="17" width="6.875" customWidth="1"/>
    <col min="18" max="18" width="6" customWidth="1"/>
    <col min="19" max="21" width="7.375" customWidth="1"/>
    <col min="22" max="22" width="6.25" customWidth="1"/>
    <col min="23" max="23" width="6.125" customWidth="1"/>
    <col min="24" max="25" width="6.625" customWidth="1"/>
    <col min="26" max="26" width="5.625" customWidth="1"/>
    <col min="27" max="27" width="5.125" customWidth="1"/>
    <col min="28" max="28" width="7.375" customWidth="1"/>
    <col min="29" max="29" width="6.25" customWidth="1"/>
    <col min="30" max="31" width="5.75" customWidth="1"/>
    <col min="32" max="35" width="5.5" customWidth="1"/>
    <col min="36" max="36" width="4.625" customWidth="1"/>
    <col min="37" max="40" width="12.5" customWidth="1"/>
    <col min="41" max="41" width="19.625" customWidth="1"/>
    <col min="42" max="42" width="6.5" customWidth="1"/>
    <col min="43" max="43" width="5.875" customWidth="1"/>
  </cols>
  <sheetData>
    <row r="1" spans="1:46" ht="57" customHeight="1" x14ac:dyDescent="0.2">
      <c r="A1" s="1" t="s">
        <v>0</v>
      </c>
      <c r="B1" s="7" t="s">
        <v>13</v>
      </c>
      <c r="C1" s="7" t="s">
        <v>255</v>
      </c>
      <c r="D1" s="7" t="s">
        <v>500</v>
      </c>
      <c r="E1" s="7" t="s">
        <v>51</v>
      </c>
      <c r="F1" s="7" t="s">
        <v>248</v>
      </c>
      <c r="G1" s="7" t="s">
        <v>9</v>
      </c>
      <c r="H1" s="7" t="s">
        <v>21</v>
      </c>
      <c r="I1" s="7" t="s">
        <v>22</v>
      </c>
      <c r="J1" s="7" t="s">
        <v>596</v>
      </c>
      <c r="K1" s="7" t="s">
        <v>234</v>
      </c>
      <c r="L1" s="7" t="s">
        <v>75</v>
      </c>
      <c r="M1" s="7" t="s">
        <v>384</v>
      </c>
      <c r="N1" s="7" t="s">
        <v>34</v>
      </c>
      <c r="O1" s="7" t="s">
        <v>121</v>
      </c>
      <c r="P1" s="7" t="s">
        <v>190</v>
      </c>
      <c r="Q1" s="7" t="s">
        <v>97</v>
      </c>
      <c r="R1" s="19" t="s">
        <v>536</v>
      </c>
      <c r="S1" s="19" t="s">
        <v>537</v>
      </c>
      <c r="T1" s="19" t="s">
        <v>538</v>
      </c>
      <c r="U1" s="19" t="s">
        <v>519</v>
      </c>
      <c r="V1" s="19" t="s">
        <v>520</v>
      </c>
      <c r="W1" s="7" t="s">
        <v>141</v>
      </c>
      <c r="X1" s="7" t="s">
        <v>145</v>
      </c>
      <c r="Y1" s="21" t="s">
        <v>324</v>
      </c>
      <c r="Z1" s="21" t="s">
        <v>334</v>
      </c>
      <c r="AA1" s="21" t="s">
        <v>343</v>
      </c>
      <c r="AB1" s="7" t="s">
        <v>31</v>
      </c>
      <c r="AC1" s="7" t="s">
        <v>463</v>
      </c>
      <c r="AD1" s="7" t="s">
        <v>532</v>
      </c>
      <c r="AE1" s="23" t="s">
        <v>606</v>
      </c>
      <c r="AF1" s="23" t="s">
        <v>473</v>
      </c>
      <c r="AG1" s="23" t="s">
        <v>474</v>
      </c>
      <c r="AH1" s="23" t="s">
        <v>475</v>
      </c>
      <c r="AI1" s="23" t="s">
        <v>476</v>
      </c>
      <c r="AJ1" s="23" t="s">
        <v>477</v>
      </c>
      <c r="AK1" s="7" t="s">
        <v>28</v>
      </c>
      <c r="AL1" s="6" t="s">
        <v>533</v>
      </c>
      <c r="AM1" s="6" t="s">
        <v>635</v>
      </c>
      <c r="AN1" s="6" t="s">
        <v>632</v>
      </c>
      <c r="AO1" s="6" t="s">
        <v>15</v>
      </c>
      <c r="AP1" s="6" t="s">
        <v>214</v>
      </c>
      <c r="AQ1" s="6" t="s">
        <v>17</v>
      </c>
      <c r="AR1" s="2" t="s">
        <v>38</v>
      </c>
    </row>
    <row r="2" spans="1:46" x14ac:dyDescent="0.2">
      <c r="A2" s="3" t="s">
        <v>1</v>
      </c>
      <c r="B2" s="3" t="s">
        <v>5</v>
      </c>
      <c r="C2" s="3" t="s">
        <v>290</v>
      </c>
      <c r="D2" s="3" t="s">
        <v>497</v>
      </c>
      <c r="E2" s="3" t="s">
        <v>59</v>
      </c>
      <c r="F2" s="3" t="s">
        <v>246</v>
      </c>
      <c r="G2" s="3" t="s">
        <v>10</v>
      </c>
      <c r="H2" s="3" t="s">
        <v>23</v>
      </c>
      <c r="I2" s="3" t="s">
        <v>26</v>
      </c>
      <c r="J2" s="3" t="s">
        <v>631</v>
      </c>
      <c r="K2" s="3" t="s">
        <v>421</v>
      </c>
      <c r="L2" s="3" t="s">
        <v>157</v>
      </c>
      <c r="M2" s="3" t="s">
        <v>618</v>
      </c>
      <c r="N2" s="3" t="s">
        <v>35</v>
      </c>
      <c r="O2" s="3" t="s">
        <v>122</v>
      </c>
      <c r="P2" s="3" t="s">
        <v>195</v>
      </c>
      <c r="Q2" s="3" t="s">
        <v>422</v>
      </c>
      <c r="R2" s="20" t="s">
        <v>102</v>
      </c>
      <c r="S2" s="20" t="s">
        <v>297</v>
      </c>
      <c r="T2" s="20" t="s">
        <v>539</v>
      </c>
      <c r="U2" s="20" t="s">
        <v>542</v>
      </c>
      <c r="V2" s="20" t="s">
        <v>521</v>
      </c>
      <c r="W2" s="3" t="s">
        <v>144</v>
      </c>
      <c r="X2" s="3" t="s">
        <v>147</v>
      </c>
      <c r="Y2" s="22" t="s">
        <v>322</v>
      </c>
      <c r="Z2" s="22" t="s">
        <v>337</v>
      </c>
      <c r="AA2" s="22" t="s">
        <v>453</v>
      </c>
      <c r="AB2" s="3" t="s">
        <v>600</v>
      </c>
      <c r="AC2" s="3" t="s">
        <v>464</v>
      </c>
      <c r="AD2" s="3" t="s">
        <v>32</v>
      </c>
      <c r="AE2" s="24" t="s">
        <v>607</v>
      </c>
      <c r="AF2" s="24" t="s">
        <v>131</v>
      </c>
      <c r="AG2" s="24" t="s">
        <v>221</v>
      </c>
      <c r="AH2" s="24" t="s">
        <v>133</v>
      </c>
      <c r="AI2" s="24" t="s">
        <v>134</v>
      </c>
      <c r="AJ2" s="24" t="s">
        <v>210</v>
      </c>
      <c r="AK2" s="3" t="s">
        <v>30</v>
      </c>
      <c r="AL2" s="51" t="s">
        <v>578</v>
      </c>
      <c r="AM2" s="51" t="s">
        <v>636</v>
      </c>
      <c r="AN2" s="51" t="s">
        <v>637</v>
      </c>
      <c r="AO2" s="51" t="s">
        <v>638</v>
      </c>
      <c r="AP2" s="51" t="s">
        <v>213</v>
      </c>
      <c r="AQ2" s="51" t="s">
        <v>18</v>
      </c>
      <c r="AR2" s="4" t="s">
        <v>4</v>
      </c>
    </row>
    <row r="3" spans="1:46" x14ac:dyDescent="0.2">
      <c r="A3" s="3" t="s">
        <v>41</v>
      </c>
      <c r="B3" s="3" t="s">
        <v>6</v>
      </c>
      <c r="C3" s="3" t="s">
        <v>247</v>
      </c>
      <c r="D3" s="3" t="s">
        <v>498</v>
      </c>
      <c r="E3" s="3" t="s">
        <v>52</v>
      </c>
      <c r="F3" s="3" t="s">
        <v>247</v>
      </c>
      <c r="G3" s="3" t="s">
        <v>11</v>
      </c>
      <c r="H3" s="3" t="s">
        <v>24</v>
      </c>
      <c r="I3" s="3" t="s">
        <v>24</v>
      </c>
      <c r="J3" s="3" t="s">
        <v>597</v>
      </c>
      <c r="K3" s="3" t="s">
        <v>235</v>
      </c>
      <c r="L3" s="3" t="s">
        <v>76</v>
      </c>
      <c r="M3" s="3" t="s">
        <v>385</v>
      </c>
      <c r="N3" s="3" t="s">
        <v>36</v>
      </c>
      <c r="O3" s="3" t="s">
        <v>123</v>
      </c>
      <c r="P3" s="3" t="s">
        <v>191</v>
      </c>
      <c r="Q3" s="3" t="s">
        <v>98</v>
      </c>
      <c r="R3" s="20" t="s">
        <v>24</v>
      </c>
      <c r="S3" s="20" t="s">
        <v>298</v>
      </c>
      <c r="T3" s="20" t="s">
        <v>540</v>
      </c>
      <c r="U3" s="20" t="s">
        <v>24</v>
      </c>
      <c r="V3" s="20" t="s">
        <v>24</v>
      </c>
      <c r="W3" s="3" t="s">
        <v>142</v>
      </c>
      <c r="X3" s="3" t="s">
        <v>146</v>
      </c>
      <c r="Y3" s="22" t="s">
        <v>321</v>
      </c>
      <c r="Z3" s="22" t="s">
        <v>336</v>
      </c>
      <c r="AA3" s="22" t="s">
        <v>344</v>
      </c>
      <c r="AB3" s="3" t="s">
        <v>11</v>
      </c>
      <c r="AC3" s="3" t="s">
        <v>465</v>
      </c>
      <c r="AD3" s="3" t="s">
        <v>84</v>
      </c>
      <c r="AE3" s="24" t="s">
        <v>6</v>
      </c>
      <c r="AF3" s="24" t="s">
        <v>132</v>
      </c>
      <c r="AG3" s="24" t="s">
        <v>219</v>
      </c>
      <c r="AH3" s="24" t="s">
        <v>84</v>
      </c>
      <c r="AI3" s="24" t="s">
        <v>86</v>
      </c>
      <c r="AJ3" s="24" t="s">
        <v>211</v>
      </c>
      <c r="AK3" s="3" t="s">
        <v>27</v>
      </c>
      <c r="AL3" s="51" t="s">
        <v>534</v>
      </c>
      <c r="AM3" s="51" t="s">
        <v>633</v>
      </c>
      <c r="AN3" s="51" t="s">
        <v>633</v>
      </c>
      <c r="AO3" s="51" t="s">
        <v>14</v>
      </c>
      <c r="AP3" s="51" t="s">
        <v>215</v>
      </c>
      <c r="AQ3" s="51" t="s">
        <v>19</v>
      </c>
      <c r="AR3" s="4" t="s">
        <v>2</v>
      </c>
    </row>
    <row r="4" spans="1:46" x14ac:dyDescent="0.2">
      <c r="A4" s="3" t="s">
        <v>3</v>
      </c>
      <c r="B4" s="3" t="s">
        <v>7</v>
      </c>
      <c r="C4" s="3" t="s">
        <v>249</v>
      </c>
      <c r="D4" s="3" t="s">
        <v>499</v>
      </c>
      <c r="E4" s="3" t="s">
        <v>53</v>
      </c>
      <c r="F4" s="3" t="s">
        <v>249</v>
      </c>
      <c r="G4" s="3" t="s">
        <v>12</v>
      </c>
      <c r="H4" s="3" t="s">
        <v>25</v>
      </c>
      <c r="I4" s="3" t="s">
        <v>20</v>
      </c>
      <c r="J4" s="3" t="s">
        <v>598</v>
      </c>
      <c r="K4" s="3" t="s">
        <v>236</v>
      </c>
      <c r="L4" s="3" t="s">
        <v>77</v>
      </c>
      <c r="M4" s="3" t="s">
        <v>386</v>
      </c>
      <c r="N4" s="3" t="s">
        <v>37</v>
      </c>
      <c r="O4" s="3" t="s">
        <v>124</v>
      </c>
      <c r="P4" s="3" t="s">
        <v>192</v>
      </c>
      <c r="Q4" s="3" t="s">
        <v>99</v>
      </c>
      <c r="R4" s="20" t="s">
        <v>33</v>
      </c>
      <c r="S4" s="20" t="s">
        <v>12</v>
      </c>
      <c r="T4" s="20" t="s">
        <v>541</v>
      </c>
      <c r="U4" s="20" t="s">
        <v>33</v>
      </c>
      <c r="V4" s="20" t="s">
        <v>33</v>
      </c>
      <c r="W4" s="3" t="s">
        <v>143</v>
      </c>
      <c r="X4" s="3" t="s">
        <v>143</v>
      </c>
      <c r="Y4" s="22" t="s">
        <v>323</v>
      </c>
      <c r="Z4" s="22" t="s">
        <v>335</v>
      </c>
      <c r="AA4" s="22" t="s">
        <v>345</v>
      </c>
      <c r="AB4" s="3" t="s">
        <v>7</v>
      </c>
      <c r="AC4" s="3" t="s">
        <v>466</v>
      </c>
      <c r="AD4" s="3" t="s">
        <v>7</v>
      </c>
      <c r="AE4" s="24" t="s">
        <v>7</v>
      </c>
      <c r="AF4" s="24" t="s">
        <v>7</v>
      </c>
      <c r="AG4" s="24" t="s">
        <v>220</v>
      </c>
      <c r="AH4" s="24" t="s">
        <v>85</v>
      </c>
      <c r="AI4" s="24" t="s">
        <v>85</v>
      </c>
      <c r="AJ4" s="24" t="s">
        <v>212</v>
      </c>
      <c r="AK4" s="3" t="s">
        <v>20</v>
      </c>
      <c r="AL4" s="51" t="s">
        <v>535</v>
      </c>
      <c r="AM4" s="51" t="s">
        <v>634</v>
      </c>
      <c r="AN4" s="51" t="s">
        <v>634</v>
      </c>
      <c r="AO4" s="51" t="s">
        <v>16</v>
      </c>
      <c r="AP4" s="51" t="s">
        <v>216</v>
      </c>
      <c r="AQ4" s="51" t="s">
        <v>29</v>
      </c>
      <c r="AR4" s="4" t="s">
        <v>8</v>
      </c>
    </row>
    <row r="5" spans="1:46" x14ac:dyDescent="0.2">
      <c r="A5" s="5">
        <v>200001</v>
      </c>
      <c r="B5" s="5" t="s">
        <v>177</v>
      </c>
      <c r="C5" s="5" t="s">
        <v>276</v>
      </c>
      <c r="D5" s="5"/>
      <c r="E5" s="5" t="s">
        <v>310</v>
      </c>
      <c r="F5" s="5" t="s">
        <v>254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36"/>
      <c r="S5" s="36"/>
      <c r="T5" s="40">
        <v>0.17</v>
      </c>
      <c r="U5" s="40"/>
      <c r="V5" s="40"/>
      <c r="W5" s="5"/>
      <c r="X5" s="5"/>
      <c r="Y5" s="8"/>
      <c r="Z5" s="8"/>
      <c r="AA5" s="8"/>
      <c r="AB5" s="5">
        <v>300001</v>
      </c>
      <c r="AC5" s="5"/>
      <c r="AD5" s="5">
        <v>999</v>
      </c>
      <c r="AE5" s="44"/>
      <c r="AF5" s="44"/>
      <c r="AG5" s="44"/>
      <c r="AH5" s="44"/>
      <c r="AI5" s="44"/>
      <c r="AJ5" s="44"/>
      <c r="AK5" s="5" t="s">
        <v>528</v>
      </c>
      <c r="AL5" s="52"/>
      <c r="AM5" s="52"/>
      <c r="AN5" s="52"/>
      <c r="AO5" s="52"/>
      <c r="AP5" s="52"/>
      <c r="AQ5" s="5">
        <v>4</v>
      </c>
      <c r="AR5" t="s">
        <v>44</v>
      </c>
      <c r="AS5" t="e">
        <f>COUNTIF([1]Sheet1!$R:$U,C5)</f>
        <v>#VALUE!</v>
      </c>
      <c r="AT5" s="5" t="s">
        <v>71</v>
      </c>
    </row>
    <row r="6" spans="1:46" x14ac:dyDescent="0.2">
      <c r="A6" s="5">
        <v>200002</v>
      </c>
      <c r="B6" s="5" t="s">
        <v>179</v>
      </c>
      <c r="C6" s="5" t="s">
        <v>309</v>
      </c>
      <c r="D6" s="5"/>
      <c r="E6" s="5" t="s">
        <v>554</v>
      </c>
      <c r="F6" s="5" t="s">
        <v>254</v>
      </c>
      <c r="G6" s="5">
        <v>1</v>
      </c>
      <c r="H6" s="5"/>
      <c r="I6" s="5"/>
      <c r="J6" s="5"/>
      <c r="K6" s="5"/>
      <c r="L6" s="5" t="s">
        <v>228</v>
      </c>
      <c r="M6" s="5"/>
      <c r="N6" s="5">
        <v>30</v>
      </c>
      <c r="O6" s="5"/>
      <c r="P6" s="5"/>
      <c r="Q6" s="5">
        <v>1</v>
      </c>
      <c r="R6" s="36"/>
      <c r="S6" s="36"/>
      <c r="T6" s="40"/>
      <c r="U6" s="40">
        <v>0.15</v>
      </c>
      <c r="V6" s="40"/>
      <c r="W6" s="5"/>
      <c r="X6" s="5"/>
      <c r="Y6" s="8"/>
      <c r="Z6" s="8"/>
      <c r="AA6" s="8"/>
      <c r="AB6" s="5"/>
      <c r="AC6" s="5"/>
      <c r="AD6" s="5"/>
      <c r="AE6" s="44"/>
      <c r="AF6" s="44"/>
      <c r="AG6" s="44"/>
      <c r="AH6" s="44"/>
      <c r="AI6" s="44"/>
      <c r="AJ6" s="44"/>
      <c r="AK6" s="5" t="s">
        <v>546</v>
      </c>
      <c r="AL6" s="52" t="s">
        <v>207</v>
      </c>
      <c r="AM6" s="52"/>
      <c r="AN6" s="52"/>
      <c r="AO6" s="52"/>
      <c r="AP6" s="52"/>
      <c r="AQ6" s="5">
        <v>2</v>
      </c>
      <c r="AR6" t="s">
        <v>178</v>
      </c>
      <c r="AS6" t="e">
        <f>COUNTIF([1]Sheet1!$R:$U,C6)</f>
        <v>#VALUE!</v>
      </c>
      <c r="AT6" s="5"/>
    </row>
    <row r="7" spans="1:46" x14ac:dyDescent="0.2">
      <c r="A7" s="5">
        <v>200003</v>
      </c>
      <c r="B7" s="58" t="s">
        <v>176</v>
      </c>
      <c r="C7" s="5" t="s">
        <v>259</v>
      </c>
      <c r="D7" s="5"/>
      <c r="E7" s="5" t="s">
        <v>299</v>
      </c>
      <c r="F7" s="5" t="s">
        <v>254</v>
      </c>
      <c r="G7" s="5">
        <v>1</v>
      </c>
      <c r="H7" s="5">
        <v>0.15</v>
      </c>
      <c r="I7" s="5">
        <v>5</v>
      </c>
      <c r="J7" s="5"/>
      <c r="K7" s="5"/>
      <c r="L7" s="5" t="s">
        <v>103</v>
      </c>
      <c r="M7" s="5"/>
      <c r="N7" s="5"/>
      <c r="O7" s="5"/>
      <c r="P7" s="5"/>
      <c r="Q7" s="5"/>
      <c r="R7" s="36"/>
      <c r="S7" s="36">
        <v>10</v>
      </c>
      <c r="T7" s="40"/>
      <c r="U7" s="40"/>
      <c r="V7" s="40"/>
      <c r="W7" s="5"/>
      <c r="X7" s="5"/>
      <c r="Y7" s="8"/>
      <c r="Z7" s="8"/>
      <c r="AA7" s="8"/>
      <c r="AB7" s="5"/>
      <c r="AC7" s="5"/>
      <c r="AD7" s="5"/>
      <c r="AE7" s="44"/>
      <c r="AF7" s="44"/>
      <c r="AG7" s="44"/>
      <c r="AH7" s="44"/>
      <c r="AI7" s="44"/>
      <c r="AJ7" s="44"/>
      <c r="AK7" s="5" t="s">
        <v>543</v>
      </c>
      <c r="AL7" s="52" t="s">
        <v>207</v>
      </c>
      <c r="AM7" s="52"/>
      <c r="AN7" s="52"/>
      <c r="AO7" s="52" t="s">
        <v>239</v>
      </c>
      <c r="AP7" s="52"/>
      <c r="AQ7" s="5">
        <v>1</v>
      </c>
      <c r="AR7" t="s">
        <v>167</v>
      </c>
      <c r="AS7" t="e">
        <f>COUNTIF([1]Sheet1!$R:$U,C7)</f>
        <v>#VALUE!</v>
      </c>
    </row>
    <row r="8" spans="1:46" x14ac:dyDescent="0.2">
      <c r="A8" s="5">
        <v>200004</v>
      </c>
      <c r="B8" s="5" t="s">
        <v>138</v>
      </c>
      <c r="C8" s="5" t="s">
        <v>277</v>
      </c>
      <c r="D8" s="5"/>
      <c r="E8" s="5" t="s">
        <v>74</v>
      </c>
      <c r="F8" s="5" t="s">
        <v>254</v>
      </c>
      <c r="G8" s="5">
        <v>1</v>
      </c>
      <c r="H8" s="5">
        <v>0.35</v>
      </c>
      <c r="I8" s="5">
        <v>7</v>
      </c>
      <c r="J8" s="5"/>
      <c r="K8" s="5"/>
      <c r="L8" s="5" t="s">
        <v>137</v>
      </c>
      <c r="M8" s="5"/>
      <c r="N8" s="5"/>
      <c r="O8" s="5"/>
      <c r="P8" s="5"/>
      <c r="Q8" s="5"/>
      <c r="R8" s="36">
        <v>0.5</v>
      </c>
      <c r="S8" s="36"/>
      <c r="T8" s="40"/>
      <c r="U8" s="40"/>
      <c r="V8" s="40"/>
      <c r="W8" s="5"/>
      <c r="X8" s="5"/>
      <c r="Y8" s="8"/>
      <c r="Z8" s="8"/>
      <c r="AA8" s="8"/>
      <c r="AB8" s="5">
        <v>300002</v>
      </c>
      <c r="AC8" s="5"/>
      <c r="AD8" s="5">
        <v>4.5</v>
      </c>
      <c r="AE8" s="44"/>
      <c r="AF8" s="44"/>
      <c r="AG8" s="44"/>
      <c r="AH8" s="44"/>
      <c r="AI8" s="44"/>
      <c r="AJ8" s="44"/>
      <c r="AK8" s="5" t="s">
        <v>110</v>
      </c>
      <c r="AL8" s="52" t="s">
        <v>198</v>
      </c>
      <c r="AM8" s="52"/>
      <c r="AN8" s="52"/>
      <c r="AO8" s="52"/>
      <c r="AP8" s="52"/>
      <c r="AQ8" s="5">
        <v>3</v>
      </c>
      <c r="AR8" s="55" t="s">
        <v>45</v>
      </c>
      <c r="AS8" t="e">
        <f>COUNTIF([1]Sheet1!$R:$U,C8)</f>
        <v>#VALUE!</v>
      </c>
      <c r="AT8" t="s">
        <v>72</v>
      </c>
    </row>
    <row r="9" spans="1:46" x14ac:dyDescent="0.2">
      <c r="A9" s="5">
        <v>200005</v>
      </c>
      <c r="B9" s="5" t="s">
        <v>55</v>
      </c>
      <c r="C9" s="5" t="s">
        <v>278</v>
      </c>
      <c r="D9" s="5"/>
      <c r="E9" s="5" t="s">
        <v>208</v>
      </c>
      <c r="F9" s="5" t="s">
        <v>254</v>
      </c>
      <c r="G9" s="5">
        <v>1</v>
      </c>
      <c r="H9" s="5">
        <v>1</v>
      </c>
      <c r="I9" s="5">
        <v>7</v>
      </c>
      <c r="J9" s="5"/>
      <c r="K9" s="5"/>
      <c r="L9" s="5" t="s">
        <v>103</v>
      </c>
      <c r="M9" s="5"/>
      <c r="N9" s="5"/>
      <c r="O9" s="5"/>
      <c r="P9" s="5"/>
      <c r="Q9" s="5"/>
      <c r="R9" s="36"/>
      <c r="S9" s="36"/>
      <c r="T9" s="40"/>
      <c r="U9" s="40">
        <v>0.5</v>
      </c>
      <c r="V9" s="40"/>
      <c r="W9" s="5"/>
      <c r="X9" s="5"/>
      <c r="Y9" s="8"/>
      <c r="Z9" s="8"/>
      <c r="AA9" s="8"/>
      <c r="AB9" s="5">
        <v>301003</v>
      </c>
      <c r="AC9" s="5"/>
      <c r="AD9" s="5">
        <v>0</v>
      </c>
      <c r="AE9" s="44"/>
      <c r="AF9" s="44"/>
      <c r="AG9" s="44"/>
      <c r="AH9" s="44"/>
      <c r="AI9" s="44"/>
      <c r="AJ9" s="44"/>
      <c r="AK9" s="5" t="s">
        <v>529</v>
      </c>
      <c r="AL9" s="52"/>
      <c r="AM9" s="52"/>
      <c r="AN9" s="52"/>
      <c r="AO9" s="52" t="s">
        <v>43</v>
      </c>
      <c r="AP9" s="52"/>
      <c r="AQ9" s="5">
        <v>2</v>
      </c>
      <c r="AR9" s="55" t="s">
        <v>40</v>
      </c>
      <c r="AS9" t="e">
        <f>COUNTIF([1]Sheet1!$R:$U,C9)</f>
        <v>#VALUE!</v>
      </c>
      <c r="AT9" s="5" t="s">
        <v>71</v>
      </c>
    </row>
    <row r="10" spans="1:46" x14ac:dyDescent="0.2">
      <c r="A10" s="5">
        <v>200006</v>
      </c>
      <c r="B10" s="5" t="s">
        <v>181</v>
      </c>
      <c r="C10" s="5" t="s">
        <v>279</v>
      </c>
      <c r="D10" s="5"/>
      <c r="E10" s="5" t="s">
        <v>107</v>
      </c>
      <c r="F10" s="5" t="s">
        <v>254</v>
      </c>
      <c r="G10" s="5">
        <v>1</v>
      </c>
      <c r="H10" s="5"/>
      <c r="I10" s="5"/>
      <c r="J10" s="5"/>
      <c r="K10" s="5"/>
      <c r="L10" s="5" t="s">
        <v>78</v>
      </c>
      <c r="M10" s="5"/>
      <c r="N10" s="5"/>
      <c r="O10" s="5"/>
      <c r="P10" s="5"/>
      <c r="Q10" s="5"/>
      <c r="R10" s="36"/>
      <c r="S10" s="36"/>
      <c r="T10" s="40">
        <v>0.25</v>
      </c>
      <c r="U10" s="40">
        <v>0.05</v>
      </c>
      <c r="V10" s="40"/>
      <c r="W10" s="5"/>
      <c r="X10" s="5"/>
      <c r="Y10" s="8"/>
      <c r="Z10" s="8"/>
      <c r="AA10" s="8"/>
      <c r="AB10" s="5"/>
      <c r="AC10" s="5"/>
      <c r="AD10" s="5"/>
      <c r="AE10" s="44"/>
      <c r="AF10" s="44"/>
      <c r="AG10" s="44"/>
      <c r="AH10" s="44"/>
      <c r="AI10" s="44"/>
      <c r="AJ10" s="44"/>
      <c r="AK10" s="5" t="s">
        <v>544</v>
      </c>
      <c r="AL10" s="52"/>
      <c r="AM10" s="52"/>
      <c r="AN10" s="52"/>
      <c r="AO10" s="52" t="s">
        <v>70</v>
      </c>
      <c r="AP10" s="52"/>
      <c r="AQ10" s="5">
        <v>2</v>
      </c>
      <c r="AR10" s="55" t="s">
        <v>46</v>
      </c>
      <c r="AS10" t="e">
        <f>COUNTIF([1]Sheet1!$R:$U,C10)</f>
        <v>#VALUE!</v>
      </c>
      <c r="AT10" s="5" t="s">
        <v>73</v>
      </c>
    </row>
    <row r="11" spans="1:46" x14ac:dyDescent="0.2">
      <c r="A11" s="5">
        <v>200007</v>
      </c>
      <c r="B11" s="5" t="s">
        <v>175</v>
      </c>
      <c r="C11" s="5" t="s">
        <v>260</v>
      </c>
      <c r="D11" s="5"/>
      <c r="E11" s="5" t="s">
        <v>180</v>
      </c>
      <c r="F11" s="5" t="s">
        <v>254</v>
      </c>
      <c r="G11" s="5">
        <v>1</v>
      </c>
      <c r="H11" s="5">
        <v>1</v>
      </c>
      <c r="I11" s="5">
        <v>99</v>
      </c>
      <c r="J11" s="5"/>
      <c r="K11" s="5"/>
      <c r="L11" s="5" t="s">
        <v>103</v>
      </c>
      <c r="M11" s="5"/>
      <c r="N11" s="5"/>
      <c r="O11" s="5"/>
      <c r="P11" s="5"/>
      <c r="Q11" s="5"/>
      <c r="R11" s="36"/>
      <c r="S11" s="36"/>
      <c r="T11" s="40"/>
      <c r="U11" s="40"/>
      <c r="V11" s="40"/>
      <c r="W11" s="5"/>
      <c r="X11" s="5"/>
      <c r="Y11" s="8"/>
      <c r="Z11" s="8"/>
      <c r="AA11" s="8"/>
      <c r="AB11" s="5"/>
      <c r="AC11" s="5"/>
      <c r="AD11" s="5"/>
      <c r="AE11" s="44"/>
      <c r="AF11" s="44"/>
      <c r="AG11" s="44"/>
      <c r="AH11" s="44"/>
      <c r="AI11" s="44"/>
      <c r="AJ11" s="44"/>
      <c r="AK11" s="5" t="s">
        <v>58</v>
      </c>
      <c r="AL11" s="52"/>
      <c r="AM11" s="52"/>
      <c r="AN11" s="52"/>
      <c r="AO11" s="52"/>
      <c r="AP11" s="52"/>
      <c r="AQ11" s="5">
        <v>2</v>
      </c>
      <c r="AR11" s="55" t="s">
        <v>160</v>
      </c>
      <c r="AS11" t="e">
        <f>COUNTIF([1]Sheet1!$R:$U,C11)</f>
        <v>#VALUE!</v>
      </c>
    </row>
    <row r="12" spans="1:46" x14ac:dyDescent="0.2">
      <c r="A12" s="5">
        <v>200008</v>
      </c>
      <c r="B12" s="5" t="s">
        <v>182</v>
      </c>
      <c r="C12" s="5" t="s">
        <v>280</v>
      </c>
      <c r="D12" s="5"/>
      <c r="E12" s="5" t="s">
        <v>394</v>
      </c>
      <c r="F12" s="5" t="s">
        <v>254</v>
      </c>
      <c r="G12" s="5">
        <v>1</v>
      </c>
      <c r="H12" s="5">
        <v>0.15</v>
      </c>
      <c r="I12" s="5">
        <v>4</v>
      </c>
      <c r="J12" s="5"/>
      <c r="K12" s="5"/>
      <c r="L12" s="5" t="s">
        <v>78</v>
      </c>
      <c r="M12" s="5"/>
      <c r="N12" s="5"/>
      <c r="O12" s="5"/>
      <c r="P12" s="5"/>
      <c r="Q12" s="5"/>
      <c r="R12" s="36"/>
      <c r="S12" s="36"/>
      <c r="T12" s="40"/>
      <c r="U12" s="40"/>
      <c r="V12" s="40"/>
      <c r="W12" s="5"/>
      <c r="X12" s="5"/>
      <c r="Y12" s="8"/>
      <c r="Z12" s="8"/>
      <c r="AA12" s="8"/>
      <c r="AB12" s="60">
        <v>301001</v>
      </c>
      <c r="AC12" s="5"/>
      <c r="AD12" s="5">
        <v>2</v>
      </c>
      <c r="AE12" s="44"/>
      <c r="AF12" s="44"/>
      <c r="AG12" s="44"/>
      <c r="AH12" s="44"/>
      <c r="AI12" s="44"/>
      <c r="AJ12" s="44"/>
      <c r="AK12" s="5" t="s">
        <v>80</v>
      </c>
      <c r="AL12" s="52" t="s">
        <v>199</v>
      </c>
      <c r="AM12" s="52"/>
      <c r="AN12" s="52"/>
      <c r="AO12" s="52" t="s">
        <v>68</v>
      </c>
      <c r="AP12" s="52"/>
      <c r="AQ12" s="5">
        <v>2</v>
      </c>
      <c r="AR12" s="55" t="s">
        <v>79</v>
      </c>
      <c r="AS12" t="e">
        <f>COUNTIF([1]Sheet1!$R:$U,C12)</f>
        <v>#VALUE!</v>
      </c>
    </row>
    <row r="13" spans="1:46" x14ac:dyDescent="0.2">
      <c r="A13" s="5">
        <v>200009</v>
      </c>
      <c r="B13" s="5" t="s">
        <v>163</v>
      </c>
      <c r="C13" s="5" t="s">
        <v>261</v>
      </c>
      <c r="D13" s="5"/>
      <c r="E13" s="5" t="s">
        <v>164</v>
      </c>
      <c r="F13" s="5" t="s">
        <v>254</v>
      </c>
      <c r="G13" s="5">
        <v>1</v>
      </c>
      <c r="H13" s="5">
        <v>0.5</v>
      </c>
      <c r="I13" s="5"/>
      <c r="J13" s="5"/>
      <c r="K13" s="5"/>
      <c r="L13" s="5" t="s">
        <v>103</v>
      </c>
      <c r="M13" s="5"/>
      <c r="N13" s="5">
        <v>20</v>
      </c>
      <c r="O13" s="5"/>
      <c r="P13" s="5"/>
      <c r="Q13" s="5">
        <v>2</v>
      </c>
      <c r="R13" s="36"/>
      <c r="S13" s="36"/>
      <c r="T13" s="40"/>
      <c r="U13" s="40">
        <v>0.6</v>
      </c>
      <c r="V13" s="40"/>
      <c r="W13" s="5"/>
      <c r="X13" s="5"/>
      <c r="Y13" s="8"/>
      <c r="Z13" s="8"/>
      <c r="AA13" s="8"/>
      <c r="AB13" s="5"/>
      <c r="AC13" s="5"/>
      <c r="AD13" s="5"/>
      <c r="AE13" s="44"/>
      <c r="AF13" s="44"/>
      <c r="AG13" s="44"/>
      <c r="AH13" s="44"/>
      <c r="AI13" s="44"/>
      <c r="AJ13" s="44"/>
      <c r="AK13" s="5" t="s">
        <v>81</v>
      </c>
      <c r="AL13" s="52" t="s">
        <v>199</v>
      </c>
      <c r="AM13" s="52"/>
      <c r="AN13" s="52"/>
      <c r="AO13" s="52" t="s">
        <v>125</v>
      </c>
      <c r="AP13" s="52"/>
      <c r="AQ13" s="5">
        <v>3</v>
      </c>
      <c r="AR13" s="55" t="s">
        <v>42</v>
      </c>
      <c r="AS13" t="e">
        <f>COUNTIF([1]Sheet1!$R:$U,C13)</f>
        <v>#VALUE!</v>
      </c>
    </row>
    <row r="14" spans="1:46" x14ac:dyDescent="0.2">
      <c r="A14" s="5">
        <v>200010</v>
      </c>
      <c r="B14" s="5" t="s">
        <v>166</v>
      </c>
      <c r="C14" s="5" t="s">
        <v>262</v>
      </c>
      <c r="D14" s="5"/>
      <c r="E14" s="5" t="s">
        <v>62</v>
      </c>
      <c r="F14" s="5" t="s">
        <v>254</v>
      </c>
      <c r="G14" s="5">
        <v>1</v>
      </c>
      <c r="H14" s="5">
        <v>1</v>
      </c>
      <c r="I14" s="5">
        <v>99</v>
      </c>
      <c r="J14" s="5"/>
      <c r="K14" s="5"/>
      <c r="L14" s="5" t="s">
        <v>103</v>
      </c>
      <c r="M14" s="5"/>
      <c r="N14" s="5"/>
      <c r="O14" s="5"/>
      <c r="P14" s="5"/>
      <c r="Q14" s="5"/>
      <c r="R14" s="36"/>
      <c r="S14" s="36"/>
      <c r="T14" s="40"/>
      <c r="U14" s="40"/>
      <c r="V14" s="40"/>
      <c r="W14" s="5"/>
      <c r="X14" s="5"/>
      <c r="Y14" s="8"/>
      <c r="Z14" s="8"/>
      <c r="AA14" s="8"/>
      <c r="AB14" s="5"/>
      <c r="AC14" s="5"/>
      <c r="AD14" s="5"/>
      <c r="AE14" s="44"/>
      <c r="AF14" s="44"/>
      <c r="AG14" s="44"/>
      <c r="AH14" s="44"/>
      <c r="AI14" s="44"/>
      <c r="AJ14" s="44"/>
      <c r="AK14" s="5" t="s">
        <v>58</v>
      </c>
      <c r="AL14" s="52"/>
      <c r="AM14" s="52"/>
      <c r="AN14" s="52"/>
      <c r="AO14" s="52"/>
      <c r="AP14" s="52"/>
      <c r="AQ14" s="5">
        <v>3</v>
      </c>
      <c r="AR14" s="55" t="s">
        <v>161</v>
      </c>
      <c r="AS14" t="e">
        <f>COUNTIF([1]Sheet1!$R:$U,C14)</f>
        <v>#VALUE!</v>
      </c>
    </row>
    <row r="15" spans="1:46" x14ac:dyDescent="0.2">
      <c r="A15" s="5">
        <v>200011</v>
      </c>
      <c r="B15" s="5" t="s">
        <v>170</v>
      </c>
      <c r="C15" s="5" t="s">
        <v>281</v>
      </c>
      <c r="D15" s="5"/>
      <c r="E15" s="5" t="s">
        <v>171</v>
      </c>
      <c r="F15" s="5" t="s">
        <v>254</v>
      </c>
      <c r="G15" s="5">
        <v>1</v>
      </c>
      <c r="H15" s="5">
        <v>1</v>
      </c>
      <c r="I15" s="5">
        <v>7</v>
      </c>
      <c r="J15" s="5"/>
      <c r="K15" s="5"/>
      <c r="L15" s="5" t="s">
        <v>103</v>
      </c>
      <c r="M15" s="5"/>
      <c r="N15" s="5"/>
      <c r="O15" s="5"/>
      <c r="P15" s="5"/>
      <c r="Q15" s="5"/>
      <c r="R15" s="36"/>
      <c r="S15" s="36"/>
      <c r="T15" s="40"/>
      <c r="U15" s="40"/>
      <c r="V15" s="40"/>
      <c r="W15" s="5"/>
      <c r="X15" s="5"/>
      <c r="Y15" s="8"/>
      <c r="Z15" s="8"/>
      <c r="AA15" s="8"/>
      <c r="AB15" s="5">
        <v>301003</v>
      </c>
      <c r="AC15" s="5"/>
      <c r="AD15" s="5">
        <v>3</v>
      </c>
      <c r="AE15" s="44"/>
      <c r="AF15" s="44"/>
      <c r="AG15" s="44"/>
      <c r="AH15" s="44"/>
      <c r="AI15" s="44"/>
      <c r="AJ15" s="44"/>
      <c r="AK15" s="5" t="s">
        <v>530</v>
      </c>
      <c r="AL15" s="52"/>
      <c r="AM15" s="52" t="s">
        <v>169</v>
      </c>
      <c r="AN15" s="52"/>
      <c r="AO15" s="52"/>
      <c r="AP15" s="52"/>
      <c r="AQ15" s="5">
        <v>2</v>
      </c>
      <c r="AR15" s="55" t="s">
        <v>168</v>
      </c>
      <c r="AS15" t="e">
        <f>COUNTIF([1]Sheet1!$R:$U,C15)</f>
        <v>#VALUE!</v>
      </c>
    </row>
    <row r="16" spans="1:46" x14ac:dyDescent="0.2">
      <c r="A16" s="5">
        <v>200012</v>
      </c>
      <c r="B16" s="5" t="s">
        <v>183</v>
      </c>
      <c r="C16" s="5" t="s">
        <v>256</v>
      </c>
      <c r="D16" s="5"/>
      <c r="E16" s="5" t="s">
        <v>57</v>
      </c>
      <c r="F16" s="5" t="s">
        <v>254</v>
      </c>
      <c r="G16" s="5">
        <v>1</v>
      </c>
      <c r="H16" s="5">
        <v>1</v>
      </c>
      <c r="I16" s="5">
        <v>3.5</v>
      </c>
      <c r="J16" s="5">
        <v>1</v>
      </c>
      <c r="K16" s="5"/>
      <c r="L16" s="5" t="s">
        <v>78</v>
      </c>
      <c r="M16" s="5"/>
      <c r="N16" s="5">
        <v>50</v>
      </c>
      <c r="O16" s="5"/>
      <c r="P16" s="5"/>
      <c r="Q16" s="5"/>
      <c r="R16" s="36">
        <v>0.45</v>
      </c>
      <c r="S16" s="36"/>
      <c r="T16" s="40"/>
      <c r="U16" s="40"/>
      <c r="V16" s="40"/>
      <c r="W16" s="5"/>
      <c r="X16" s="5"/>
      <c r="Y16" s="8"/>
      <c r="Z16" s="8"/>
      <c r="AA16" s="8"/>
      <c r="AB16" s="5">
        <v>300005</v>
      </c>
      <c r="AC16" s="5"/>
      <c r="AD16" s="5">
        <v>5</v>
      </c>
      <c r="AE16" s="44"/>
      <c r="AF16" s="44"/>
      <c r="AG16" s="44"/>
      <c r="AH16" s="44"/>
      <c r="AI16" s="44"/>
      <c r="AJ16" s="44"/>
      <c r="AK16" s="5" t="s">
        <v>204</v>
      </c>
      <c r="AL16" s="52" t="s">
        <v>207</v>
      </c>
      <c r="AM16" s="52"/>
      <c r="AN16" s="52"/>
      <c r="AO16" s="52" t="s">
        <v>330</v>
      </c>
      <c r="AP16" s="52"/>
      <c r="AQ16" s="5">
        <v>2</v>
      </c>
      <c r="AR16" s="55" t="s">
        <v>48</v>
      </c>
      <c r="AS16" t="e">
        <f>COUNTIF([1]Sheet1!$R:$U,C16)</f>
        <v>#VALUE!</v>
      </c>
    </row>
    <row r="17" spans="1:45" x14ac:dyDescent="0.2">
      <c r="A17" s="5">
        <v>200013</v>
      </c>
      <c r="B17" s="5" t="s">
        <v>39</v>
      </c>
      <c r="C17" s="5" t="s">
        <v>282</v>
      </c>
      <c r="D17" s="5"/>
      <c r="E17" s="5" t="s">
        <v>56</v>
      </c>
      <c r="F17" s="5" t="s">
        <v>254</v>
      </c>
      <c r="G17" s="5">
        <v>1</v>
      </c>
      <c r="H17" s="5">
        <v>1</v>
      </c>
      <c r="I17" s="5">
        <v>3</v>
      </c>
      <c r="J17" s="5">
        <v>1</v>
      </c>
      <c r="K17" s="5"/>
      <c r="L17" s="5" t="s">
        <v>78</v>
      </c>
      <c r="M17" s="5"/>
      <c r="N17" s="5">
        <v>50</v>
      </c>
      <c r="O17" s="5"/>
      <c r="P17" s="5"/>
      <c r="Q17" s="5"/>
      <c r="R17" s="36"/>
      <c r="S17" s="36"/>
      <c r="T17" s="40">
        <v>0.7</v>
      </c>
      <c r="U17" s="40"/>
      <c r="V17" s="40"/>
      <c r="W17" s="5"/>
      <c r="X17" s="5"/>
      <c r="Y17" s="8"/>
      <c r="Z17" s="8"/>
      <c r="AA17" s="8"/>
      <c r="AB17" s="5"/>
      <c r="AC17" s="5"/>
      <c r="AD17" s="5"/>
      <c r="AE17" s="44"/>
      <c r="AF17" s="44"/>
      <c r="AG17" s="44"/>
      <c r="AH17" s="44"/>
      <c r="AI17" s="44"/>
      <c r="AJ17" s="44"/>
      <c r="AK17" s="5" t="s">
        <v>525</v>
      </c>
      <c r="AL17" s="52" t="s">
        <v>207</v>
      </c>
      <c r="AM17" s="52"/>
      <c r="AN17" s="52"/>
      <c r="AO17" s="52" t="s">
        <v>112</v>
      </c>
      <c r="AP17" s="52"/>
      <c r="AQ17" s="5">
        <v>2</v>
      </c>
      <c r="AR17" s="55" t="s">
        <v>47</v>
      </c>
      <c r="AS17" t="e">
        <f>COUNTIF([1]Sheet1!$R:$U,C17)</f>
        <v>#VALUE!</v>
      </c>
    </row>
    <row r="18" spans="1:45" x14ac:dyDescent="0.2">
      <c r="A18" s="5">
        <v>200014</v>
      </c>
      <c r="B18" s="5" t="s">
        <v>184</v>
      </c>
      <c r="C18" s="5" t="s">
        <v>263</v>
      </c>
      <c r="D18" s="5"/>
      <c r="E18" s="5" t="s">
        <v>394</v>
      </c>
      <c r="F18" s="5" t="s">
        <v>254</v>
      </c>
      <c r="G18" s="5">
        <v>1</v>
      </c>
      <c r="H18" s="5">
        <v>0.15</v>
      </c>
      <c r="I18" s="5">
        <v>4</v>
      </c>
      <c r="J18" s="5"/>
      <c r="K18" s="5"/>
      <c r="L18" s="5" t="s">
        <v>103</v>
      </c>
      <c r="M18" s="5"/>
      <c r="N18" s="5"/>
      <c r="O18" s="5"/>
      <c r="P18" s="5"/>
      <c r="Q18" s="5"/>
      <c r="R18" s="36"/>
      <c r="S18" s="36"/>
      <c r="T18" s="40"/>
      <c r="U18" s="40"/>
      <c r="V18" s="40"/>
      <c r="W18" s="5"/>
      <c r="X18" s="5"/>
      <c r="Y18" s="8"/>
      <c r="Z18" s="8"/>
      <c r="AA18" s="8"/>
      <c r="AB18" s="60">
        <v>301001</v>
      </c>
      <c r="AC18" s="5"/>
      <c r="AD18" s="5">
        <v>2</v>
      </c>
      <c r="AE18" s="44"/>
      <c r="AF18" s="44"/>
      <c r="AG18" s="44"/>
      <c r="AH18" s="44"/>
      <c r="AI18" s="44"/>
      <c r="AJ18" s="44"/>
      <c r="AK18" s="5" t="s">
        <v>80</v>
      </c>
      <c r="AL18" s="52" t="s">
        <v>201</v>
      </c>
      <c r="AM18" s="52"/>
      <c r="AN18" s="52"/>
      <c r="AO18" s="52" t="s">
        <v>68</v>
      </c>
      <c r="AP18" s="52"/>
      <c r="AQ18" s="5">
        <v>2</v>
      </c>
      <c r="AR18" s="55" t="s">
        <v>185</v>
      </c>
      <c r="AS18" t="e">
        <f>COUNTIF([1]Sheet1!$R:$U,C18)</f>
        <v>#VALUE!</v>
      </c>
    </row>
    <row r="19" spans="1:45" x14ac:dyDescent="0.2">
      <c r="A19" s="5">
        <v>200015</v>
      </c>
      <c r="B19" s="5" t="s">
        <v>186</v>
      </c>
      <c r="C19" s="5" t="s">
        <v>264</v>
      </c>
      <c r="D19" s="5"/>
      <c r="E19" s="5" t="s">
        <v>320</v>
      </c>
      <c r="F19" s="5" t="s">
        <v>254</v>
      </c>
      <c r="G19" s="5">
        <v>1</v>
      </c>
      <c r="H19" s="5">
        <v>0.35</v>
      </c>
      <c r="I19" s="5">
        <v>4</v>
      </c>
      <c r="J19" s="5"/>
      <c r="K19" s="5"/>
      <c r="L19" s="5" t="s">
        <v>103</v>
      </c>
      <c r="M19" s="5"/>
      <c r="N19" s="5">
        <v>25</v>
      </c>
      <c r="O19" s="5"/>
      <c r="P19" s="5"/>
      <c r="Q19" s="5">
        <v>2</v>
      </c>
      <c r="R19" s="37"/>
      <c r="S19" s="36"/>
      <c r="T19" s="40"/>
      <c r="U19" s="40">
        <v>0.6</v>
      </c>
      <c r="V19" s="40"/>
      <c r="W19" s="5"/>
      <c r="X19" s="5"/>
      <c r="Y19" s="8"/>
      <c r="Z19" s="8"/>
      <c r="AA19" s="8"/>
      <c r="AB19" s="5"/>
      <c r="AC19" s="5"/>
      <c r="AD19" s="5"/>
      <c r="AE19" s="44"/>
      <c r="AF19" s="44"/>
      <c r="AG19" s="44"/>
      <c r="AH19" s="44"/>
      <c r="AI19" s="44"/>
      <c r="AJ19" s="44"/>
      <c r="AK19" s="5" t="s">
        <v>189</v>
      </c>
      <c r="AL19" s="52" t="s">
        <v>199</v>
      </c>
      <c r="AM19" s="52"/>
      <c r="AN19" s="52"/>
      <c r="AO19" s="52" t="s">
        <v>188</v>
      </c>
      <c r="AP19" s="52"/>
      <c r="AQ19" s="5">
        <v>2</v>
      </c>
      <c r="AR19" s="55" t="s">
        <v>187</v>
      </c>
      <c r="AS19" t="e">
        <f>COUNTIF([1]Sheet1!$R:$U,C19)</f>
        <v>#VALUE!</v>
      </c>
    </row>
    <row r="20" spans="1:45" x14ac:dyDescent="0.2">
      <c r="A20" s="5">
        <v>200016</v>
      </c>
      <c r="B20" s="5" t="s">
        <v>205</v>
      </c>
      <c r="C20" s="5" t="s">
        <v>257</v>
      </c>
      <c r="D20" s="5"/>
      <c r="E20" s="5" t="s">
        <v>206</v>
      </c>
      <c r="F20" s="5" t="s">
        <v>254</v>
      </c>
      <c r="G20" s="5">
        <v>1</v>
      </c>
      <c r="H20" s="5">
        <v>1</v>
      </c>
      <c r="I20" s="5">
        <v>3.5</v>
      </c>
      <c r="J20" s="5">
        <v>1</v>
      </c>
      <c r="K20" s="5"/>
      <c r="L20" s="5" t="s">
        <v>78</v>
      </c>
      <c r="M20" s="5"/>
      <c r="N20" s="5">
        <v>50</v>
      </c>
      <c r="O20" s="5"/>
      <c r="P20" s="5"/>
      <c r="Q20" s="5"/>
      <c r="R20" s="36">
        <v>0.4</v>
      </c>
      <c r="S20" s="36"/>
      <c r="T20" s="40"/>
      <c r="U20" s="40"/>
      <c r="V20" s="40"/>
      <c r="W20" s="5"/>
      <c r="X20" s="5"/>
      <c r="Y20" s="8"/>
      <c r="Z20" s="8"/>
      <c r="AA20" s="8"/>
      <c r="AB20" s="5">
        <v>300004</v>
      </c>
      <c r="AC20" s="5"/>
      <c r="AD20" s="5">
        <v>5</v>
      </c>
      <c r="AE20" s="44"/>
      <c r="AF20" s="44"/>
      <c r="AG20" s="44"/>
      <c r="AH20" s="44"/>
      <c r="AI20" s="44"/>
      <c r="AJ20" s="44"/>
      <c r="AK20" s="5" t="s">
        <v>204</v>
      </c>
      <c r="AL20" s="52" t="s">
        <v>207</v>
      </c>
      <c r="AM20" s="52"/>
      <c r="AN20" s="52"/>
      <c r="AO20" s="52" t="s">
        <v>68</v>
      </c>
      <c r="AP20" s="52"/>
      <c r="AQ20" s="5">
        <v>2</v>
      </c>
      <c r="AR20" s="55" t="s">
        <v>209</v>
      </c>
      <c r="AS20" t="e">
        <f>COUNTIF([1]Sheet1!$R:$U,C20)</f>
        <v>#VALUE!</v>
      </c>
    </row>
    <row r="21" spans="1:45" x14ac:dyDescent="0.2">
      <c r="A21" s="27">
        <v>201002</v>
      </c>
      <c r="B21" s="26" t="s">
        <v>352</v>
      </c>
      <c r="C21" s="27" t="s">
        <v>353</v>
      </c>
      <c r="D21" s="47" t="s">
        <v>501</v>
      </c>
      <c r="E21" s="47" t="s">
        <v>395</v>
      </c>
      <c r="F21" s="27" t="s">
        <v>294</v>
      </c>
      <c r="G21" s="47">
        <v>1</v>
      </c>
      <c r="H21" s="47"/>
      <c r="I21" s="47"/>
      <c r="J21" s="47"/>
      <c r="K21" s="47"/>
      <c r="L21" s="47" t="s">
        <v>103</v>
      </c>
      <c r="M21" s="47"/>
      <c r="N21" s="47"/>
      <c r="O21" s="47"/>
      <c r="P21" s="47"/>
      <c r="Q21" s="47"/>
      <c r="R21" s="38"/>
      <c r="S21" s="38"/>
      <c r="T21" s="41"/>
      <c r="U21" s="41"/>
      <c r="V21" s="41"/>
      <c r="W21" s="47"/>
      <c r="X21" s="47"/>
      <c r="Y21" s="27">
        <v>1</v>
      </c>
      <c r="Z21" s="27" t="s">
        <v>355</v>
      </c>
      <c r="AA21" s="27" t="s">
        <v>356</v>
      </c>
      <c r="AB21" s="61">
        <v>301001</v>
      </c>
      <c r="AC21" s="47"/>
      <c r="AD21" s="47">
        <v>2</v>
      </c>
      <c r="AE21" s="45"/>
      <c r="AF21" s="45"/>
      <c r="AG21" s="45"/>
      <c r="AH21" s="45"/>
      <c r="AI21" s="45"/>
      <c r="AJ21" s="45"/>
      <c r="AK21" s="47" t="s">
        <v>526</v>
      </c>
      <c r="AL21" s="53"/>
      <c r="AM21" s="53"/>
      <c r="AN21" s="53"/>
      <c r="AO21" s="53"/>
      <c r="AP21" s="53"/>
      <c r="AQ21" s="47">
        <v>2</v>
      </c>
      <c r="AR21" s="47" t="s">
        <v>354</v>
      </c>
      <c r="AS21" t="e">
        <f>COUNTIF([1]Sheet1!$R:$U,C21)</f>
        <v>#VALUE!</v>
      </c>
    </row>
    <row r="22" spans="1:45" x14ac:dyDescent="0.2">
      <c r="A22" s="8">
        <v>201003</v>
      </c>
      <c r="B22" s="14" t="s">
        <v>348</v>
      </c>
      <c r="C22" s="8" t="s">
        <v>351</v>
      </c>
      <c r="D22" s="5" t="s">
        <v>502</v>
      </c>
      <c r="E22" s="5" t="s">
        <v>396</v>
      </c>
      <c r="F22" s="8" t="s">
        <v>294</v>
      </c>
      <c r="G22" s="5">
        <v>1</v>
      </c>
      <c r="H22" s="5"/>
      <c r="I22" s="5"/>
      <c r="J22" s="5"/>
      <c r="K22" s="5"/>
      <c r="L22" s="5" t="s">
        <v>103</v>
      </c>
      <c r="M22" s="5" t="s">
        <v>409</v>
      </c>
      <c r="N22" s="5"/>
      <c r="O22" s="5"/>
      <c r="P22" s="5"/>
      <c r="Q22" s="5"/>
      <c r="R22" s="36">
        <v>0.5</v>
      </c>
      <c r="S22" s="36"/>
      <c r="T22" s="40"/>
      <c r="U22" s="40"/>
      <c r="V22" s="40"/>
      <c r="W22" s="5"/>
      <c r="X22" s="5"/>
      <c r="Y22" s="8">
        <v>1</v>
      </c>
      <c r="Z22" s="8" t="s">
        <v>350</v>
      </c>
      <c r="AA22" s="8"/>
      <c r="AB22" s="60">
        <v>301001</v>
      </c>
      <c r="AC22" s="49" t="s">
        <v>467</v>
      </c>
      <c r="AD22" s="5"/>
      <c r="AE22" s="44"/>
      <c r="AF22" s="44"/>
      <c r="AG22" s="44"/>
      <c r="AH22" s="44"/>
      <c r="AI22" s="44"/>
      <c r="AJ22" s="44"/>
      <c r="AK22" s="5" t="s">
        <v>408</v>
      </c>
      <c r="AL22" s="52"/>
      <c r="AM22" s="52"/>
      <c r="AN22" s="52"/>
      <c r="AO22" s="52"/>
      <c r="AP22" s="52"/>
      <c r="AQ22" s="5">
        <v>2</v>
      </c>
      <c r="AR22" s="5" t="s">
        <v>349</v>
      </c>
      <c r="AS22" t="e">
        <f>COUNTIF([1]Sheet1!$R:$U,C22)</f>
        <v>#VALUE!</v>
      </c>
    </row>
    <row r="23" spans="1:45" x14ac:dyDescent="0.2">
      <c r="A23" s="8">
        <v>201004</v>
      </c>
      <c r="B23" s="8" t="s">
        <v>379</v>
      </c>
      <c r="C23" s="8" t="s">
        <v>339</v>
      </c>
      <c r="D23" s="5"/>
      <c r="E23" s="5" t="s">
        <v>424</v>
      </c>
      <c r="F23" s="8" t="s">
        <v>294</v>
      </c>
      <c r="G23" s="5">
        <v>1</v>
      </c>
      <c r="H23" s="5"/>
      <c r="I23" s="5"/>
      <c r="J23" s="5"/>
      <c r="K23" s="5"/>
      <c r="L23" s="5" t="s">
        <v>130</v>
      </c>
      <c r="M23" s="5"/>
      <c r="N23" s="5"/>
      <c r="O23" s="5"/>
      <c r="P23" s="5"/>
      <c r="Q23" s="5"/>
      <c r="R23" s="36">
        <v>0.2</v>
      </c>
      <c r="S23" s="36"/>
      <c r="T23" s="40"/>
      <c r="U23" s="40"/>
      <c r="V23" s="40"/>
      <c r="W23" s="5"/>
      <c r="X23" s="5"/>
      <c r="Y23" s="8"/>
      <c r="Z23" s="8"/>
      <c r="AA23" s="8"/>
      <c r="AB23" s="5"/>
      <c r="AC23" s="5"/>
      <c r="AD23" s="5"/>
      <c r="AE23" s="44"/>
      <c r="AF23" s="44"/>
      <c r="AG23" s="44"/>
      <c r="AH23" s="44"/>
      <c r="AI23" s="44"/>
      <c r="AJ23" s="44"/>
      <c r="AK23" s="5" t="s">
        <v>423</v>
      </c>
      <c r="AL23" s="52"/>
      <c r="AM23" s="52"/>
      <c r="AN23" s="52"/>
      <c r="AO23" s="52"/>
      <c r="AP23" s="52"/>
      <c r="AQ23" s="5">
        <v>2</v>
      </c>
      <c r="AR23" s="5" t="s">
        <v>380</v>
      </c>
      <c r="AS23" t="e">
        <f>COUNTIF([1]Sheet1!$R:$U,C23)</f>
        <v>#VALUE!</v>
      </c>
    </row>
    <row r="24" spans="1:45" x14ac:dyDescent="0.2">
      <c r="A24" s="8">
        <v>201005</v>
      </c>
      <c r="B24" s="15" t="s">
        <v>378</v>
      </c>
      <c r="C24" s="8" t="s">
        <v>347</v>
      </c>
      <c r="D24" s="5"/>
      <c r="E24" s="5" t="s">
        <v>425</v>
      </c>
      <c r="F24" s="8" t="s">
        <v>294</v>
      </c>
      <c r="G24" s="5">
        <v>1</v>
      </c>
      <c r="H24" s="5"/>
      <c r="I24" s="5"/>
      <c r="J24" s="5"/>
      <c r="K24" s="5"/>
      <c r="L24" s="5" t="s">
        <v>130</v>
      </c>
      <c r="M24" s="5"/>
      <c r="N24" s="5"/>
      <c r="O24" s="5"/>
      <c r="P24" s="5"/>
      <c r="Q24" s="5"/>
      <c r="R24" s="36">
        <v>0.2</v>
      </c>
      <c r="S24" s="36"/>
      <c r="T24" s="40"/>
      <c r="U24" s="40"/>
      <c r="V24" s="40"/>
      <c r="W24" s="5"/>
      <c r="X24" s="5"/>
      <c r="Y24" s="8">
        <v>1</v>
      </c>
      <c r="Z24" s="8" t="s">
        <v>340</v>
      </c>
      <c r="AA24" s="8"/>
      <c r="AB24" s="5"/>
      <c r="AC24" s="5"/>
      <c r="AD24" s="5"/>
      <c r="AE24" s="44"/>
      <c r="AF24" s="44"/>
      <c r="AG24" s="44"/>
      <c r="AH24" s="44"/>
      <c r="AI24" s="44"/>
      <c r="AJ24" s="44"/>
      <c r="AK24" s="5" t="s">
        <v>423</v>
      </c>
      <c r="AL24" s="52"/>
      <c r="AM24" s="52"/>
      <c r="AN24" s="52"/>
      <c r="AO24" s="52"/>
      <c r="AP24" s="52"/>
      <c r="AQ24" s="5">
        <v>4</v>
      </c>
      <c r="AR24" s="5" t="s">
        <v>300</v>
      </c>
      <c r="AS24" t="e">
        <f>COUNTIF([1]Sheet1!$R:$U,C24)</f>
        <v>#VALUE!</v>
      </c>
    </row>
    <row r="25" spans="1:45" x14ac:dyDescent="0.2">
      <c r="A25" s="8">
        <v>201006</v>
      </c>
      <c r="B25" s="8" t="s">
        <v>292</v>
      </c>
      <c r="C25" s="8" t="s">
        <v>446</v>
      </c>
      <c r="D25" s="5"/>
      <c r="E25" s="5" t="s">
        <v>293</v>
      </c>
      <c r="F25" s="8" t="s">
        <v>294</v>
      </c>
      <c r="G25" s="5">
        <v>1</v>
      </c>
      <c r="H25" s="5">
        <v>0.3</v>
      </c>
      <c r="I25" s="5">
        <v>5</v>
      </c>
      <c r="J25" s="5"/>
      <c r="K25" s="5"/>
      <c r="L25" s="5" t="s">
        <v>229</v>
      </c>
      <c r="M25" s="5"/>
      <c r="N25" s="5"/>
      <c r="O25" s="5"/>
      <c r="P25" s="5"/>
      <c r="Q25" s="5"/>
      <c r="R25" s="36">
        <v>0.7</v>
      </c>
      <c r="S25" s="36"/>
      <c r="T25" s="40"/>
      <c r="U25" s="40"/>
      <c r="V25" s="40"/>
      <c r="W25" s="5"/>
      <c r="X25" s="5"/>
      <c r="Y25" s="8"/>
      <c r="Z25" s="8"/>
      <c r="AA25" s="8"/>
      <c r="AB25" s="5"/>
      <c r="AC25" s="5"/>
      <c r="AD25" s="5"/>
      <c r="AE25" s="44"/>
      <c r="AF25" s="44"/>
      <c r="AG25" s="44"/>
      <c r="AH25" s="44"/>
      <c r="AI25" s="44"/>
      <c r="AJ25" s="44"/>
      <c r="AK25" s="5" t="s">
        <v>545</v>
      </c>
      <c r="AL25" s="52" t="s">
        <v>303</v>
      </c>
      <c r="AM25" s="52"/>
      <c r="AN25" s="52"/>
      <c r="AO25" s="52"/>
      <c r="AP25" s="52"/>
      <c r="AQ25" s="5">
        <v>2</v>
      </c>
      <c r="AR25" s="55" t="s">
        <v>63</v>
      </c>
      <c r="AS25" t="e">
        <f>COUNTIF([1]Sheet1!$R:$U,C25)</f>
        <v>#VALUE!</v>
      </c>
    </row>
    <row r="26" spans="1:45" x14ac:dyDescent="0.2">
      <c r="A26" s="8">
        <v>201007</v>
      </c>
      <c r="B26" s="15" t="s">
        <v>363</v>
      </c>
      <c r="C26" s="8" t="s">
        <v>362</v>
      </c>
      <c r="D26" s="5" t="s">
        <v>512</v>
      </c>
      <c r="E26" s="5" t="s">
        <v>357</v>
      </c>
      <c r="F26" s="8" t="s">
        <v>294</v>
      </c>
      <c r="G26" s="5">
        <v>1</v>
      </c>
      <c r="H26" s="5"/>
      <c r="I26" s="5"/>
      <c r="J26" s="5"/>
      <c r="K26" s="5"/>
      <c r="L26" s="5" t="s">
        <v>229</v>
      </c>
      <c r="M26" s="5"/>
      <c r="N26" s="5"/>
      <c r="O26" s="5"/>
      <c r="P26" s="5"/>
      <c r="Q26" s="5"/>
      <c r="R26" s="36">
        <v>2.5</v>
      </c>
      <c r="S26" s="36"/>
      <c r="T26" s="40"/>
      <c r="U26" s="40"/>
      <c r="V26" s="40"/>
      <c r="W26" s="5"/>
      <c r="X26" s="5"/>
      <c r="Y26" s="8">
        <v>1</v>
      </c>
      <c r="Z26" s="8" t="s">
        <v>360</v>
      </c>
      <c r="AA26" s="8" t="s">
        <v>361</v>
      </c>
      <c r="AB26" s="5"/>
      <c r="AC26" s="5"/>
      <c r="AD26" s="5"/>
      <c r="AE26" s="44"/>
      <c r="AF26" s="44"/>
      <c r="AG26" s="44"/>
      <c r="AH26" s="44"/>
      <c r="AI26" s="44"/>
      <c r="AJ26" s="44"/>
      <c r="AK26" s="5" t="s">
        <v>358</v>
      </c>
      <c r="AL26" s="52"/>
      <c r="AM26" s="52"/>
      <c r="AN26" s="52"/>
      <c r="AO26" s="52"/>
      <c r="AP26" s="52"/>
      <c r="AQ26" s="5">
        <v>1</v>
      </c>
      <c r="AR26" s="55" t="s">
        <v>359</v>
      </c>
      <c r="AS26" t="e">
        <f>COUNTIF([1]Sheet1!$R:$U,C26)</f>
        <v>#VALUE!</v>
      </c>
    </row>
    <row r="27" spans="1:45" x14ac:dyDescent="0.2">
      <c r="A27" s="8">
        <v>201008</v>
      </c>
      <c r="B27" s="15" t="s">
        <v>381</v>
      </c>
      <c r="C27" s="8" t="s">
        <v>258</v>
      </c>
      <c r="D27" s="5"/>
      <c r="E27" s="5" t="s">
        <v>226</v>
      </c>
      <c r="F27" s="8"/>
      <c r="G27" s="5">
        <v>1</v>
      </c>
      <c r="H27" s="5">
        <v>0.3</v>
      </c>
      <c r="I27" s="5">
        <v>4</v>
      </c>
      <c r="J27" s="5"/>
      <c r="K27" s="5"/>
      <c r="L27" s="5" t="s">
        <v>229</v>
      </c>
      <c r="M27" s="5"/>
      <c r="N27" s="5">
        <v>30</v>
      </c>
      <c r="O27" s="5"/>
      <c r="P27" s="5"/>
      <c r="Q27" s="5">
        <v>1</v>
      </c>
      <c r="R27" s="36"/>
      <c r="S27" s="36"/>
      <c r="T27" s="40"/>
      <c r="U27" s="40"/>
      <c r="V27" s="40"/>
      <c r="W27" s="5"/>
      <c r="X27" s="5"/>
      <c r="Y27" s="8"/>
      <c r="Z27" s="8"/>
      <c r="AA27" s="8"/>
      <c r="AB27" s="5"/>
      <c r="AC27" s="5"/>
      <c r="AD27" s="5"/>
      <c r="AE27" s="44"/>
      <c r="AF27" s="44"/>
      <c r="AG27" s="44"/>
      <c r="AH27" s="44"/>
      <c r="AI27" s="44"/>
      <c r="AJ27" s="44"/>
      <c r="AK27" s="5" t="s">
        <v>531</v>
      </c>
      <c r="AL27" s="52" t="s">
        <v>303</v>
      </c>
      <c r="AM27" s="52"/>
      <c r="AN27" s="52"/>
      <c r="AO27" s="52"/>
      <c r="AP27" s="52"/>
      <c r="AQ27" s="5">
        <v>3</v>
      </c>
      <c r="AR27" s="55" t="s">
        <v>67</v>
      </c>
      <c r="AS27" t="e">
        <f>COUNTIF([1]Sheet1!$R:$U,C27)</f>
        <v>#VALUE!</v>
      </c>
    </row>
    <row r="28" spans="1:45" x14ac:dyDescent="0.2">
      <c r="A28" s="8">
        <v>201009</v>
      </c>
      <c r="B28" s="15" t="s">
        <v>549</v>
      </c>
      <c r="C28" s="8" t="s">
        <v>552</v>
      </c>
      <c r="D28" s="5" t="s">
        <v>551</v>
      </c>
      <c r="E28" s="5" t="s">
        <v>553</v>
      </c>
      <c r="F28" s="8"/>
      <c r="G28" s="5">
        <v>1</v>
      </c>
      <c r="H28" s="5">
        <v>0.35</v>
      </c>
      <c r="I28" s="5">
        <v>5</v>
      </c>
      <c r="J28" s="5"/>
      <c r="K28" s="5"/>
      <c r="L28" s="5" t="s">
        <v>548</v>
      </c>
      <c r="M28" s="5"/>
      <c r="N28" s="5">
        <v>30</v>
      </c>
      <c r="O28" s="5"/>
      <c r="P28" s="5"/>
      <c r="Q28" s="5">
        <v>3</v>
      </c>
      <c r="R28" s="36"/>
      <c r="S28" s="36"/>
      <c r="T28" s="40"/>
      <c r="U28" s="40">
        <v>0.25</v>
      </c>
      <c r="V28" s="40"/>
      <c r="W28" s="5"/>
      <c r="X28" s="5"/>
      <c r="Y28" s="8"/>
      <c r="Z28" s="8"/>
      <c r="AA28" s="8"/>
      <c r="AB28" s="5"/>
      <c r="AC28" s="5"/>
      <c r="AD28" s="5"/>
      <c r="AE28" s="44"/>
      <c r="AF28" s="44"/>
      <c r="AG28" s="44"/>
      <c r="AH28" s="44"/>
      <c r="AI28" s="44"/>
      <c r="AJ28" s="44"/>
      <c r="AK28" s="5" t="s">
        <v>547</v>
      </c>
      <c r="AL28" s="52" t="s">
        <v>303</v>
      </c>
      <c r="AM28" s="52"/>
      <c r="AN28" s="52"/>
      <c r="AO28" s="52"/>
      <c r="AP28" s="52"/>
      <c r="AQ28" s="5">
        <v>4</v>
      </c>
      <c r="AR28" s="55" t="s">
        <v>550</v>
      </c>
      <c r="AS28" t="e">
        <f>COUNTIF([1]Sheet1!$R:$U,C28)</f>
        <v>#VALUE!</v>
      </c>
    </row>
    <row r="29" spans="1:45" x14ac:dyDescent="0.2">
      <c r="A29" s="8">
        <v>201010</v>
      </c>
      <c r="B29" s="14" t="s">
        <v>54</v>
      </c>
      <c r="C29" s="8" t="s">
        <v>398</v>
      </c>
      <c r="D29" s="5"/>
      <c r="E29" s="5" t="s">
        <v>82</v>
      </c>
      <c r="F29" s="8" t="s">
        <v>295</v>
      </c>
      <c r="G29" s="5">
        <v>1</v>
      </c>
      <c r="H29" s="5">
        <v>0.4</v>
      </c>
      <c r="I29" s="5">
        <v>5</v>
      </c>
      <c r="J29" s="5"/>
      <c r="K29" s="5"/>
      <c r="L29" s="5" t="s">
        <v>130</v>
      </c>
      <c r="M29" s="5"/>
      <c r="N29" s="5">
        <v>25</v>
      </c>
      <c r="O29" s="5"/>
      <c r="P29" s="5"/>
      <c r="Q29" s="5">
        <v>5</v>
      </c>
      <c r="R29" s="36"/>
      <c r="S29" s="36"/>
      <c r="T29" s="40"/>
      <c r="U29" s="40">
        <v>0.8</v>
      </c>
      <c r="V29" s="40"/>
      <c r="W29" s="5"/>
      <c r="X29" s="5"/>
      <c r="Y29" s="8"/>
      <c r="Z29" s="8"/>
      <c r="AA29" s="8"/>
      <c r="AB29" s="5"/>
      <c r="AC29" s="5"/>
      <c r="AD29" s="5"/>
      <c r="AE29" s="44"/>
      <c r="AF29" s="44"/>
      <c r="AG29" s="44"/>
      <c r="AH29" s="44"/>
      <c r="AI29" s="44"/>
      <c r="AJ29" s="44"/>
      <c r="AK29" s="5" t="s">
        <v>527</v>
      </c>
      <c r="AL29" s="52" t="s">
        <v>172</v>
      </c>
      <c r="AM29" s="52" t="s">
        <v>173</v>
      </c>
      <c r="AN29" s="52"/>
      <c r="AO29" s="52"/>
      <c r="AP29" s="52"/>
      <c r="AQ29" s="5">
        <v>3</v>
      </c>
      <c r="AR29" s="55" t="s">
        <v>50</v>
      </c>
      <c r="AS29" t="e">
        <f>COUNTIF([1]Sheet1!$R:$U,C29)</f>
        <v>#VALUE!</v>
      </c>
    </row>
    <row r="30" spans="1:45" x14ac:dyDescent="0.2">
      <c r="A30" s="8">
        <v>201011</v>
      </c>
      <c r="B30" s="14" t="s">
        <v>364</v>
      </c>
      <c r="C30" s="8" t="s">
        <v>283</v>
      </c>
      <c r="D30" s="5"/>
      <c r="E30" s="5" t="s">
        <v>87</v>
      </c>
      <c r="F30" s="8" t="s">
        <v>296</v>
      </c>
      <c r="G30" s="5">
        <v>1</v>
      </c>
      <c r="H30" s="5">
        <v>0.3</v>
      </c>
      <c r="I30" s="5">
        <v>10</v>
      </c>
      <c r="J30" s="5"/>
      <c r="K30" s="5"/>
      <c r="L30" s="5" t="s">
        <v>129</v>
      </c>
      <c r="M30" s="5"/>
      <c r="N30" s="5"/>
      <c r="O30" s="5"/>
      <c r="P30" s="5"/>
      <c r="Q30" s="5">
        <v>1</v>
      </c>
      <c r="R30" s="36"/>
      <c r="S30" s="36"/>
      <c r="T30" s="40"/>
      <c r="U30" s="40"/>
      <c r="V30" s="40">
        <v>0.15</v>
      </c>
      <c r="W30" s="5"/>
      <c r="X30" s="5"/>
      <c r="Y30" s="8"/>
      <c r="Z30" s="8"/>
      <c r="AA30" s="8"/>
      <c r="AB30" s="5"/>
      <c r="AC30" s="5"/>
      <c r="AD30" s="5"/>
      <c r="AE30" s="44" t="s">
        <v>608</v>
      </c>
      <c r="AF30" s="44"/>
      <c r="AG30" s="44">
        <v>25</v>
      </c>
      <c r="AH30" s="44">
        <v>5.2</v>
      </c>
      <c r="AI30" s="44">
        <v>0.5</v>
      </c>
      <c r="AJ30" s="44"/>
      <c r="AK30" s="5" t="s">
        <v>522</v>
      </c>
      <c r="AL30" s="52" t="s">
        <v>198</v>
      </c>
      <c r="AM30" s="52"/>
      <c r="AN30" s="52" t="s">
        <v>83</v>
      </c>
      <c r="AO30" s="52"/>
      <c r="AP30" s="52">
        <v>5</v>
      </c>
      <c r="AQ30" s="5">
        <v>4</v>
      </c>
      <c r="AR30" s="55" t="s">
        <v>88</v>
      </c>
      <c r="AS30" t="e">
        <f>COUNTIF([1]Sheet1!$R:$U,C30)</f>
        <v>#VALUE!</v>
      </c>
    </row>
    <row r="31" spans="1:45" x14ac:dyDescent="0.2">
      <c r="A31" s="8">
        <v>201012</v>
      </c>
      <c r="B31" s="8" t="s">
        <v>513</v>
      </c>
      <c r="C31" s="8" t="s">
        <v>514</v>
      </c>
      <c r="D31" s="5"/>
      <c r="E31" s="5" t="s">
        <v>515</v>
      </c>
      <c r="F31" s="8" t="s">
        <v>296</v>
      </c>
      <c r="G31" s="5">
        <v>1</v>
      </c>
      <c r="H31" s="5">
        <v>0.3</v>
      </c>
      <c r="I31" s="5">
        <v>5</v>
      </c>
      <c r="J31" s="5"/>
      <c r="K31" s="5"/>
      <c r="L31" s="5" t="s">
        <v>129</v>
      </c>
      <c r="M31" s="5"/>
      <c r="N31" s="5"/>
      <c r="O31" s="5"/>
      <c r="P31" s="5"/>
      <c r="Q31" s="5">
        <v>1</v>
      </c>
      <c r="R31" s="36"/>
      <c r="S31" s="36"/>
      <c r="T31" s="40"/>
      <c r="U31" s="40"/>
      <c r="V31" s="40">
        <v>0.1</v>
      </c>
      <c r="W31" s="5"/>
      <c r="X31" s="5"/>
      <c r="Y31" s="8"/>
      <c r="Z31" s="8"/>
      <c r="AA31" s="8"/>
      <c r="AB31" s="5"/>
      <c r="AC31" s="5"/>
      <c r="AD31" s="5"/>
      <c r="AE31" s="44" t="s">
        <v>514</v>
      </c>
      <c r="AF31" s="44">
        <v>1</v>
      </c>
      <c r="AG31" s="44">
        <v>8</v>
      </c>
      <c r="AH31" s="44">
        <v>3.2</v>
      </c>
      <c r="AI31" s="44">
        <v>1</v>
      </c>
      <c r="AJ31" s="44"/>
      <c r="AK31" s="5" t="s">
        <v>90</v>
      </c>
      <c r="AL31" s="52" t="s">
        <v>174</v>
      </c>
      <c r="AM31" s="52"/>
      <c r="AN31" s="52" t="s">
        <v>91</v>
      </c>
      <c r="AO31" s="52"/>
      <c r="AP31" s="52">
        <v>1.6</v>
      </c>
      <c r="AQ31" s="5">
        <v>2</v>
      </c>
      <c r="AR31" s="55" t="s">
        <v>516</v>
      </c>
      <c r="AS31" t="e">
        <f>COUNTIF([1]Sheet1!$R:$U,C31)</f>
        <v>#VALUE!</v>
      </c>
    </row>
    <row r="32" spans="1:45" x14ac:dyDescent="0.2">
      <c r="A32" s="8">
        <v>201013</v>
      </c>
      <c r="B32" s="14" t="s">
        <v>89</v>
      </c>
      <c r="C32" s="8" t="s">
        <v>265</v>
      </c>
      <c r="D32" s="5"/>
      <c r="E32" s="5" t="s">
        <v>92</v>
      </c>
      <c r="F32" s="8" t="s">
        <v>296</v>
      </c>
      <c r="G32" s="5">
        <v>1</v>
      </c>
      <c r="H32" s="5">
        <v>0.3</v>
      </c>
      <c r="I32" s="5">
        <v>8.5</v>
      </c>
      <c r="J32" s="5"/>
      <c r="K32" s="5"/>
      <c r="L32" s="5" t="s">
        <v>129</v>
      </c>
      <c r="M32" s="5"/>
      <c r="N32" s="5"/>
      <c r="O32" s="5"/>
      <c r="P32" s="5"/>
      <c r="Q32" s="5">
        <v>1</v>
      </c>
      <c r="R32" s="36"/>
      <c r="S32" s="36"/>
      <c r="T32" s="40"/>
      <c r="U32" s="40"/>
      <c r="V32" s="40">
        <v>0.08</v>
      </c>
      <c r="W32" s="5"/>
      <c r="X32" s="5"/>
      <c r="Y32" s="8"/>
      <c r="Z32" s="8"/>
      <c r="AA32" s="8"/>
      <c r="AB32" s="5"/>
      <c r="AC32" s="5"/>
      <c r="AD32" s="5"/>
      <c r="AE32" s="44" t="s">
        <v>514</v>
      </c>
      <c r="AF32" s="44">
        <v>5</v>
      </c>
      <c r="AG32" s="44">
        <v>8</v>
      </c>
      <c r="AH32" s="44">
        <v>3.2</v>
      </c>
      <c r="AI32" s="44">
        <v>1</v>
      </c>
      <c r="AJ32" s="44"/>
      <c r="AK32" s="5" t="s">
        <v>90</v>
      </c>
      <c r="AL32" s="52" t="s">
        <v>200</v>
      </c>
      <c r="AM32" s="52"/>
      <c r="AN32" s="52" t="s">
        <v>91</v>
      </c>
      <c r="AO32" s="52"/>
      <c r="AP32" s="52">
        <v>1.6</v>
      </c>
      <c r="AQ32" s="5">
        <v>4</v>
      </c>
      <c r="AR32" s="55" t="s">
        <v>93</v>
      </c>
      <c r="AS32" t="e">
        <f>COUNTIF([1]Sheet1!$R:$U,C32)</f>
        <v>#VALUE!</v>
      </c>
    </row>
    <row r="33" spans="1:45" x14ac:dyDescent="0.2">
      <c r="A33" s="8">
        <v>201014</v>
      </c>
      <c r="B33" s="15" t="s">
        <v>557</v>
      </c>
      <c r="C33" s="8" t="s">
        <v>558</v>
      </c>
      <c r="D33" s="5"/>
      <c r="E33" s="5" t="s">
        <v>559</v>
      </c>
      <c r="F33" s="8" t="s">
        <v>295</v>
      </c>
      <c r="G33" s="5">
        <v>1</v>
      </c>
      <c r="H33" s="5">
        <v>1</v>
      </c>
      <c r="I33" s="5">
        <v>6.7</v>
      </c>
      <c r="J33" s="5">
        <v>2</v>
      </c>
      <c r="K33" s="5"/>
      <c r="L33" s="5" t="s">
        <v>222</v>
      </c>
      <c r="M33" s="5"/>
      <c r="N33" s="5">
        <v>45</v>
      </c>
      <c r="O33" s="5"/>
      <c r="P33" s="5"/>
      <c r="Q33" s="5">
        <v>4</v>
      </c>
      <c r="R33" s="36"/>
      <c r="S33" s="36"/>
      <c r="T33" s="40"/>
      <c r="U33" s="40"/>
      <c r="V33" s="40">
        <v>0.4</v>
      </c>
      <c r="W33" s="5"/>
      <c r="X33" s="5"/>
      <c r="Y33" s="8"/>
      <c r="Z33" s="8"/>
      <c r="AA33" s="8"/>
      <c r="AB33" s="5"/>
      <c r="AC33" s="5"/>
      <c r="AD33" s="5"/>
      <c r="AE33" s="44" t="s">
        <v>609</v>
      </c>
      <c r="AF33" s="44"/>
      <c r="AG33" s="44">
        <v>9</v>
      </c>
      <c r="AH33" s="44">
        <v>1.5</v>
      </c>
      <c r="AI33" s="44"/>
      <c r="AJ33" s="44">
        <v>40</v>
      </c>
      <c r="AK33" s="5" t="s">
        <v>523</v>
      </c>
      <c r="AL33" s="52" t="s">
        <v>200</v>
      </c>
      <c r="AM33" s="52"/>
      <c r="AN33" s="52"/>
      <c r="AO33" s="52" t="s">
        <v>555</v>
      </c>
      <c r="AP33" s="52">
        <v>3</v>
      </c>
      <c r="AQ33" s="5">
        <v>2</v>
      </c>
      <c r="AR33" s="55" t="s">
        <v>556</v>
      </c>
      <c r="AS33" t="e">
        <f>COUNTIF([1]Sheet1!$R:$U,C33)</f>
        <v>#VALUE!</v>
      </c>
    </row>
    <row r="34" spans="1:45" x14ac:dyDescent="0.2">
      <c r="A34" s="8">
        <v>201015</v>
      </c>
      <c r="B34" s="8" t="s">
        <v>593</v>
      </c>
      <c r="C34" s="8" t="s">
        <v>594</v>
      </c>
      <c r="D34" s="5" t="s">
        <v>501</v>
      </c>
      <c r="E34" s="5" t="s">
        <v>592</v>
      </c>
      <c r="F34" s="8" t="s">
        <v>295</v>
      </c>
      <c r="G34" s="5">
        <v>1</v>
      </c>
      <c r="H34" s="5">
        <v>1</v>
      </c>
      <c r="I34" s="5">
        <v>7</v>
      </c>
      <c r="J34" s="5">
        <v>2</v>
      </c>
      <c r="K34" s="5"/>
      <c r="L34" s="5" t="s">
        <v>103</v>
      </c>
      <c r="M34" s="5"/>
      <c r="N34" s="5">
        <v>42</v>
      </c>
      <c r="O34" s="5"/>
      <c r="P34" s="5"/>
      <c r="Q34" s="5"/>
      <c r="R34" s="36"/>
      <c r="S34" s="36"/>
      <c r="T34" s="40"/>
      <c r="U34" s="40"/>
      <c r="V34" s="40">
        <v>0.75</v>
      </c>
      <c r="W34" s="5"/>
      <c r="X34" s="5"/>
      <c r="Y34" s="8"/>
      <c r="Z34" s="8"/>
      <c r="AA34" s="8"/>
      <c r="AB34" s="5"/>
      <c r="AC34" s="5"/>
      <c r="AD34" s="5"/>
      <c r="AE34" s="44"/>
      <c r="AF34" s="44"/>
      <c r="AG34" s="44"/>
      <c r="AH34" s="44"/>
      <c r="AI34" s="44"/>
      <c r="AJ34" s="44"/>
      <c r="AK34" s="5" t="s">
        <v>590</v>
      </c>
      <c r="AL34" s="52" t="s">
        <v>207</v>
      </c>
      <c r="AM34" s="52"/>
      <c r="AN34" s="52"/>
      <c r="AO34" s="52" t="s">
        <v>591</v>
      </c>
      <c r="AP34" s="52">
        <v>3</v>
      </c>
      <c r="AQ34" s="5">
        <v>2</v>
      </c>
      <c r="AR34" s="55" t="s">
        <v>595</v>
      </c>
      <c r="AS34" t="e">
        <f>COUNTIF([1]Sheet1!$R:$U,C34)</f>
        <v>#VALUE!</v>
      </c>
    </row>
    <row r="35" spans="1:45" x14ac:dyDescent="0.2">
      <c r="A35" s="8">
        <v>201016</v>
      </c>
      <c r="B35" s="15" t="s">
        <v>560</v>
      </c>
      <c r="C35" s="8" t="s">
        <v>561</v>
      </c>
      <c r="D35" s="5"/>
      <c r="E35" s="5" t="s">
        <v>562</v>
      </c>
      <c r="F35" s="8" t="s">
        <v>296</v>
      </c>
      <c r="G35" s="5">
        <v>1</v>
      </c>
      <c r="H35" s="5">
        <v>1</v>
      </c>
      <c r="I35" s="5">
        <v>6.7</v>
      </c>
      <c r="J35" s="5">
        <v>2</v>
      </c>
      <c r="K35" s="5"/>
      <c r="L35" s="5" t="s">
        <v>78</v>
      </c>
      <c r="M35" s="5"/>
      <c r="N35" s="5">
        <v>60</v>
      </c>
      <c r="O35" s="5"/>
      <c r="P35" s="5"/>
      <c r="Q35" s="5">
        <v>4</v>
      </c>
      <c r="R35" s="36"/>
      <c r="S35" s="36"/>
      <c r="T35" s="40"/>
      <c r="U35" s="40"/>
      <c r="V35" s="40">
        <v>0.25</v>
      </c>
      <c r="W35" s="5"/>
      <c r="X35" s="5"/>
      <c r="Y35" s="8"/>
      <c r="Z35" s="8"/>
      <c r="AA35" s="8"/>
      <c r="AB35" s="5"/>
      <c r="AC35" s="5"/>
      <c r="AD35" s="5"/>
      <c r="AE35" s="44" t="s">
        <v>610</v>
      </c>
      <c r="AF35" s="44"/>
      <c r="AG35" s="44">
        <v>11</v>
      </c>
      <c r="AH35" s="44">
        <v>1.5</v>
      </c>
      <c r="AI35" s="44"/>
      <c r="AJ35" s="44">
        <v>40</v>
      </c>
      <c r="AK35" s="5" t="s">
        <v>523</v>
      </c>
      <c r="AL35" s="52" t="s">
        <v>172</v>
      </c>
      <c r="AM35" s="52"/>
      <c r="AN35" s="52"/>
      <c r="AO35" s="52" t="s">
        <v>218</v>
      </c>
      <c r="AP35" s="52">
        <v>4</v>
      </c>
      <c r="AQ35" s="5">
        <v>3</v>
      </c>
      <c r="AR35" s="55" t="s">
        <v>563</v>
      </c>
      <c r="AS35" t="e">
        <f>COUNTIF([1]Sheet1!$R:$U,C35)</f>
        <v>#VALUE!</v>
      </c>
    </row>
    <row r="36" spans="1:45" x14ac:dyDescent="0.2">
      <c r="A36" s="8">
        <v>201017</v>
      </c>
      <c r="B36" s="14" t="s">
        <v>105</v>
      </c>
      <c r="C36" s="8" t="s">
        <v>266</v>
      </c>
      <c r="D36" s="5"/>
      <c r="E36" s="5" t="s">
        <v>232</v>
      </c>
      <c r="F36" s="8"/>
      <c r="G36" s="5">
        <v>1</v>
      </c>
      <c r="H36" s="5">
        <v>0.25</v>
      </c>
      <c r="I36" s="5">
        <v>2</v>
      </c>
      <c r="J36" s="5"/>
      <c r="K36" s="5">
        <v>1</v>
      </c>
      <c r="L36" s="5" t="s">
        <v>78</v>
      </c>
      <c r="M36" s="5"/>
      <c r="N36" s="5"/>
      <c r="O36" s="5"/>
      <c r="P36" s="5"/>
      <c r="Q36" s="5"/>
      <c r="R36" s="36">
        <v>0.2</v>
      </c>
      <c r="S36" s="36"/>
      <c r="T36" s="40"/>
      <c r="U36" s="40"/>
      <c r="V36" s="40"/>
      <c r="W36" s="5"/>
      <c r="X36" s="5"/>
      <c r="Y36" s="8"/>
      <c r="Z36" s="8"/>
      <c r="AA36" s="8"/>
      <c r="AB36" s="5"/>
      <c r="AC36" s="5"/>
      <c r="AD36" s="5"/>
      <c r="AE36" s="44"/>
      <c r="AF36" s="44"/>
      <c r="AG36" s="44"/>
      <c r="AH36" s="44"/>
      <c r="AI36" s="44"/>
      <c r="AJ36" s="44"/>
      <c r="AK36" s="5" t="s">
        <v>233</v>
      </c>
      <c r="AL36" s="52" t="s">
        <v>207</v>
      </c>
      <c r="AM36" s="52"/>
      <c r="AN36" s="52"/>
      <c r="AO36" s="52"/>
      <c r="AP36" s="52"/>
      <c r="AQ36" s="5">
        <v>3</v>
      </c>
      <c r="AR36" s="55" t="s">
        <v>104</v>
      </c>
      <c r="AS36" t="e">
        <f>COUNTIF([1]Sheet1!$R:$U,C36)</f>
        <v>#VALUE!</v>
      </c>
    </row>
    <row r="37" spans="1:45" x14ac:dyDescent="0.2">
      <c r="A37" s="8">
        <v>201018</v>
      </c>
      <c r="B37" s="14" t="s">
        <v>241</v>
      </c>
      <c r="C37" s="8" t="s">
        <v>267</v>
      </c>
      <c r="D37" s="5"/>
      <c r="E37" s="5" t="s">
        <v>238</v>
      </c>
      <c r="F37" s="8"/>
      <c r="G37" s="5">
        <v>1</v>
      </c>
      <c r="H37" s="5"/>
      <c r="I37" s="5">
        <v>7</v>
      </c>
      <c r="J37" s="5"/>
      <c r="K37" s="5">
        <v>0.3</v>
      </c>
      <c r="L37" s="5" t="s">
        <v>237</v>
      </c>
      <c r="M37" s="5"/>
      <c r="N37" s="5"/>
      <c r="O37" s="5"/>
      <c r="P37" s="5"/>
      <c r="Q37" s="5"/>
      <c r="R37" s="36">
        <v>1</v>
      </c>
      <c r="S37" s="36"/>
      <c r="T37" s="40"/>
      <c r="U37" s="40"/>
      <c r="V37" s="40"/>
      <c r="W37" s="5"/>
      <c r="X37" s="5"/>
      <c r="Y37" s="8"/>
      <c r="Z37" s="8"/>
      <c r="AA37" s="8"/>
      <c r="AB37" s="5"/>
      <c r="AC37" s="5"/>
      <c r="AD37" s="5"/>
      <c r="AE37" s="44"/>
      <c r="AF37" s="44"/>
      <c r="AG37" s="44"/>
      <c r="AH37" s="44"/>
      <c r="AI37" s="44"/>
      <c r="AJ37" s="44"/>
      <c r="AK37" s="5" t="s">
        <v>233</v>
      </c>
      <c r="AL37" s="52" t="s">
        <v>200</v>
      </c>
      <c r="AM37" s="52"/>
      <c r="AN37" s="52"/>
      <c r="AO37" s="52" t="s">
        <v>240</v>
      </c>
      <c r="AP37" s="52"/>
      <c r="AQ37" s="5">
        <v>3</v>
      </c>
      <c r="AR37" s="55" t="s">
        <v>242</v>
      </c>
      <c r="AS37" t="e">
        <f>COUNTIF([1]Sheet1!$R:$U,C37)</f>
        <v>#VALUE!</v>
      </c>
    </row>
    <row r="38" spans="1:45" x14ac:dyDescent="0.2">
      <c r="A38" s="8">
        <v>201019</v>
      </c>
      <c r="B38" s="14" t="s">
        <v>443</v>
      </c>
      <c r="C38" s="8" t="s">
        <v>444</v>
      </c>
      <c r="D38" s="5"/>
      <c r="E38" s="5" t="s">
        <v>109</v>
      </c>
      <c r="F38" s="8"/>
      <c r="G38" s="5">
        <v>1</v>
      </c>
      <c r="H38" s="5">
        <v>0.35</v>
      </c>
      <c r="I38" s="5">
        <v>6</v>
      </c>
      <c r="J38" s="5"/>
      <c r="K38" s="5"/>
      <c r="L38" s="5" t="s">
        <v>230</v>
      </c>
      <c r="M38" s="5"/>
      <c r="N38" s="5"/>
      <c r="O38" s="5"/>
      <c r="P38" s="5"/>
      <c r="Q38" s="5"/>
      <c r="R38" s="36"/>
      <c r="S38" s="36"/>
      <c r="T38" s="40"/>
      <c r="U38" s="40">
        <v>1</v>
      </c>
      <c r="V38" s="40"/>
      <c r="W38" s="5"/>
      <c r="X38" s="5"/>
      <c r="Y38" s="8"/>
      <c r="Z38" s="8"/>
      <c r="AA38" s="8"/>
      <c r="AB38" s="5">
        <v>300003</v>
      </c>
      <c r="AC38" s="5"/>
      <c r="AD38" s="5">
        <v>5</v>
      </c>
      <c r="AE38" s="44"/>
      <c r="AF38" s="44"/>
      <c r="AG38" s="44"/>
      <c r="AH38" s="44"/>
      <c r="AI38" s="44"/>
      <c r="AJ38" s="44"/>
      <c r="AK38" s="5" t="s">
        <v>111</v>
      </c>
      <c r="AL38" s="52"/>
      <c r="AM38" s="52"/>
      <c r="AN38" s="52"/>
      <c r="AO38" s="52" t="s">
        <v>113</v>
      </c>
      <c r="AP38" s="52"/>
      <c r="AQ38" s="5">
        <v>2</v>
      </c>
      <c r="AR38" s="55" t="s">
        <v>442</v>
      </c>
      <c r="AS38" t="e">
        <f>COUNTIF([1]Sheet1!$R:$U,C38)</f>
        <v>#VALUE!</v>
      </c>
    </row>
    <row r="39" spans="1:45" x14ac:dyDescent="0.2">
      <c r="A39" s="8">
        <v>201020</v>
      </c>
      <c r="B39" s="8" t="s">
        <v>116</v>
      </c>
      <c r="C39" s="8" t="s">
        <v>445</v>
      </c>
      <c r="D39" s="5"/>
      <c r="E39" s="5" t="s">
        <v>517</v>
      </c>
      <c r="F39" s="8"/>
      <c r="G39" s="5">
        <v>1</v>
      </c>
      <c r="H39" s="5">
        <v>1</v>
      </c>
      <c r="I39" s="5">
        <v>6</v>
      </c>
      <c r="J39" s="5"/>
      <c r="K39" s="5"/>
      <c r="L39" s="5" t="s">
        <v>229</v>
      </c>
      <c r="M39" s="5"/>
      <c r="N39" s="5">
        <v>30</v>
      </c>
      <c r="O39" s="5"/>
      <c r="P39" s="5"/>
      <c r="Q39" s="5"/>
      <c r="R39" s="36"/>
      <c r="S39" s="36"/>
      <c r="T39" s="40"/>
      <c r="U39" s="40"/>
      <c r="V39" s="40"/>
      <c r="W39" s="5"/>
      <c r="X39" s="5"/>
      <c r="Y39" s="8"/>
      <c r="Z39" s="8"/>
      <c r="AA39" s="8"/>
      <c r="AB39" s="60">
        <v>301001</v>
      </c>
      <c r="AC39" s="5"/>
      <c r="AD39" s="5">
        <v>1</v>
      </c>
      <c r="AE39" s="44"/>
      <c r="AF39" s="44"/>
      <c r="AG39" s="44"/>
      <c r="AH39" s="44"/>
      <c r="AI39" s="44"/>
      <c r="AJ39" s="44"/>
      <c r="AK39" s="5" t="s">
        <v>115</v>
      </c>
      <c r="AL39" s="52" t="s">
        <v>304</v>
      </c>
      <c r="AM39" s="52" t="s">
        <v>217</v>
      </c>
      <c r="AN39" s="52"/>
      <c r="AO39" s="52"/>
      <c r="AP39" s="52"/>
      <c r="AQ39" s="5">
        <v>1</v>
      </c>
      <c r="AR39" s="55" t="s">
        <v>118</v>
      </c>
      <c r="AS39" t="e">
        <f>COUNTIF([1]Sheet1!$R:$U,C39)</f>
        <v>#VALUE!</v>
      </c>
    </row>
    <row r="40" spans="1:45" x14ac:dyDescent="0.2">
      <c r="A40" s="8">
        <v>201021</v>
      </c>
      <c r="B40" s="15" t="s">
        <v>128</v>
      </c>
      <c r="C40" s="8" t="s">
        <v>284</v>
      </c>
      <c r="D40" s="5"/>
      <c r="E40" s="5" t="s">
        <v>135</v>
      </c>
      <c r="F40" s="8" t="s">
        <v>295</v>
      </c>
      <c r="G40" s="5">
        <v>1</v>
      </c>
      <c r="H40" s="5">
        <v>0.35</v>
      </c>
      <c r="I40" s="5">
        <v>3</v>
      </c>
      <c r="J40" s="5"/>
      <c r="K40" s="5"/>
      <c r="L40" s="5" t="s">
        <v>130</v>
      </c>
      <c r="M40" s="5"/>
      <c r="N40" s="5"/>
      <c r="O40" s="5"/>
      <c r="P40" s="5"/>
      <c r="Q40" s="5">
        <v>1</v>
      </c>
      <c r="R40" s="36"/>
      <c r="S40" s="36"/>
      <c r="T40" s="40"/>
      <c r="U40" s="40"/>
      <c r="V40" s="40">
        <v>0.12</v>
      </c>
      <c r="W40" s="5"/>
      <c r="X40" s="5"/>
      <c r="Y40" s="8"/>
      <c r="Z40" s="8"/>
      <c r="AA40" s="8"/>
      <c r="AB40" s="5"/>
      <c r="AC40" s="5"/>
      <c r="AD40" s="5"/>
      <c r="AE40" s="44" t="s">
        <v>514</v>
      </c>
      <c r="AF40" s="44">
        <v>1</v>
      </c>
      <c r="AG40" s="44">
        <v>8</v>
      </c>
      <c r="AH40" s="44">
        <v>3.2</v>
      </c>
      <c r="AI40" s="44">
        <v>1</v>
      </c>
      <c r="AJ40" s="44"/>
      <c r="AK40" s="5" t="s">
        <v>90</v>
      </c>
      <c r="AL40" s="52" t="s">
        <v>199</v>
      </c>
      <c r="AM40" s="52"/>
      <c r="AN40" s="52" t="s">
        <v>91</v>
      </c>
      <c r="AO40" s="52"/>
      <c r="AP40" s="52">
        <v>1.6</v>
      </c>
      <c r="AQ40" s="5">
        <v>2</v>
      </c>
      <c r="AR40" s="55" t="s">
        <v>136</v>
      </c>
      <c r="AS40" t="e">
        <f>COUNTIF([1]Sheet1!$R:$U,C40)</f>
        <v>#VALUE!</v>
      </c>
    </row>
    <row r="41" spans="1:45" x14ac:dyDescent="0.2">
      <c r="A41" s="8">
        <v>201022</v>
      </c>
      <c r="B41" s="14" t="s">
        <v>148</v>
      </c>
      <c r="C41" s="8" t="s">
        <v>268</v>
      </c>
      <c r="D41" s="5"/>
      <c r="E41" s="5" t="s">
        <v>149</v>
      </c>
      <c r="F41" s="8" t="s">
        <v>295</v>
      </c>
      <c r="G41" s="5">
        <v>1</v>
      </c>
      <c r="H41" s="5">
        <v>0.15</v>
      </c>
      <c r="I41" s="5">
        <v>6</v>
      </c>
      <c r="J41" s="5"/>
      <c r="K41" s="5"/>
      <c r="L41" s="5" t="s">
        <v>231</v>
      </c>
      <c r="M41" s="5"/>
      <c r="N41" s="5"/>
      <c r="O41" s="5"/>
      <c r="P41" s="5"/>
      <c r="Q41" s="5"/>
      <c r="R41" s="36"/>
      <c r="S41" s="36"/>
      <c r="T41" s="40"/>
      <c r="U41" s="40">
        <v>1</v>
      </c>
      <c r="V41" s="40"/>
      <c r="W41" s="5">
        <v>2</v>
      </c>
      <c r="X41" s="5">
        <v>0.3</v>
      </c>
      <c r="Y41" s="8"/>
      <c r="Z41" s="8"/>
      <c r="AA41" s="8"/>
      <c r="AB41" s="5"/>
      <c r="AC41" s="5"/>
      <c r="AD41" s="5"/>
      <c r="AE41" s="44"/>
      <c r="AF41" s="44"/>
      <c r="AG41" s="44"/>
      <c r="AH41" s="44"/>
      <c r="AI41" s="44"/>
      <c r="AJ41" s="44"/>
      <c r="AK41" s="5" t="s">
        <v>139</v>
      </c>
      <c r="AL41" s="52" t="s">
        <v>243</v>
      </c>
      <c r="AM41" s="52"/>
      <c r="AN41" s="52"/>
      <c r="AO41" s="52" t="s">
        <v>140</v>
      </c>
      <c r="AP41" s="52"/>
      <c r="AQ41" s="5">
        <v>4</v>
      </c>
      <c r="AR41" s="55" t="s">
        <v>150</v>
      </c>
      <c r="AS41" t="e">
        <f>COUNTIF([1]Sheet1!$R:$U,C41)</f>
        <v>#VALUE!</v>
      </c>
    </row>
    <row r="42" spans="1:45" x14ac:dyDescent="0.2">
      <c r="A42" s="8">
        <v>201023</v>
      </c>
      <c r="B42" s="8" t="s">
        <v>151</v>
      </c>
      <c r="C42" s="8" t="s">
        <v>269</v>
      </c>
      <c r="D42" s="5"/>
      <c r="E42" s="5" t="s">
        <v>152</v>
      </c>
      <c r="F42" s="8" t="s">
        <v>295</v>
      </c>
      <c r="G42" s="5">
        <v>1</v>
      </c>
      <c r="H42" s="5">
        <v>0.15</v>
      </c>
      <c r="I42" s="5">
        <v>7</v>
      </c>
      <c r="J42" s="5"/>
      <c r="K42" s="5"/>
      <c r="L42" s="5" t="s">
        <v>103</v>
      </c>
      <c r="M42" s="5"/>
      <c r="N42" s="5"/>
      <c r="O42" s="5"/>
      <c r="P42" s="5"/>
      <c r="Q42" s="5"/>
      <c r="R42" s="36"/>
      <c r="S42" s="36"/>
      <c r="T42" s="40"/>
      <c r="U42" s="40">
        <v>1</v>
      </c>
      <c r="V42" s="40"/>
      <c r="W42" s="5">
        <v>1</v>
      </c>
      <c r="X42" s="5">
        <v>0.4</v>
      </c>
      <c r="Y42" s="8"/>
      <c r="Z42" s="8"/>
      <c r="AA42" s="8"/>
      <c r="AB42" s="5"/>
      <c r="AC42" s="5"/>
      <c r="AD42" s="5"/>
      <c r="AE42" s="44"/>
      <c r="AF42" s="44"/>
      <c r="AG42" s="44"/>
      <c r="AH42" s="44"/>
      <c r="AI42" s="44"/>
      <c r="AJ42" s="44"/>
      <c r="AK42" s="5" t="s">
        <v>139</v>
      </c>
      <c r="AL42" s="52" t="s">
        <v>243</v>
      </c>
      <c r="AM42" s="52"/>
      <c r="AN42" s="52"/>
      <c r="AO42" s="52" t="s">
        <v>153</v>
      </c>
      <c r="AP42" s="52"/>
      <c r="AQ42" s="5">
        <v>3</v>
      </c>
      <c r="AR42" s="55" t="s">
        <v>154</v>
      </c>
      <c r="AS42" t="e">
        <f>COUNTIF([1]Sheet1!$R:$U,C42)</f>
        <v>#VALUE!</v>
      </c>
    </row>
    <row r="43" spans="1:45" x14ac:dyDescent="0.2">
      <c r="A43" s="8">
        <v>201024</v>
      </c>
      <c r="B43" s="8" t="s">
        <v>601</v>
      </c>
      <c r="C43" s="8" t="s">
        <v>605</v>
      </c>
      <c r="D43" s="5" t="s">
        <v>603</v>
      </c>
      <c r="E43" s="5" t="s">
        <v>602</v>
      </c>
      <c r="F43" s="5"/>
      <c r="G43" s="5">
        <v>1</v>
      </c>
      <c r="H43" s="5"/>
      <c r="I43" s="5">
        <v>3</v>
      </c>
      <c r="J43" s="5"/>
      <c r="K43" s="5"/>
      <c r="L43" s="5" t="s">
        <v>103</v>
      </c>
      <c r="M43" s="5"/>
      <c r="N43" s="5"/>
      <c r="O43" s="5"/>
      <c r="P43" s="5"/>
      <c r="Q43" s="5"/>
      <c r="R43" s="36"/>
      <c r="S43" s="36"/>
      <c r="T43" s="40"/>
      <c r="U43" s="40">
        <v>0.7</v>
      </c>
      <c r="V43" s="40"/>
      <c r="W43" s="5"/>
      <c r="X43" s="5"/>
      <c r="Y43" s="8"/>
      <c r="Z43" s="8"/>
      <c r="AA43" s="8"/>
      <c r="AB43" s="60">
        <v>301001</v>
      </c>
      <c r="AC43" s="5"/>
      <c r="AD43" s="5"/>
      <c r="AE43" s="44"/>
      <c r="AF43" s="44"/>
      <c r="AG43" s="44"/>
      <c r="AH43" s="44"/>
      <c r="AI43" s="44"/>
      <c r="AJ43" s="44"/>
      <c r="AK43" s="5" t="s">
        <v>543</v>
      </c>
      <c r="AL43" s="52" t="s">
        <v>304</v>
      </c>
      <c r="AM43" s="52"/>
      <c r="AN43" s="52"/>
      <c r="AO43" s="52" t="s">
        <v>140</v>
      </c>
      <c r="AP43" s="52"/>
      <c r="AQ43" s="5">
        <v>1</v>
      </c>
      <c r="AR43" t="s">
        <v>604</v>
      </c>
      <c r="AS43" t="e">
        <f>COUNTIF([1]Sheet1!$R:$U,C43)</f>
        <v>#VALUE!</v>
      </c>
    </row>
    <row r="44" spans="1:45" x14ac:dyDescent="0.2">
      <c r="A44" s="8">
        <v>201025</v>
      </c>
      <c r="B44" s="8" t="s">
        <v>580</v>
      </c>
      <c r="C44" s="8" t="s">
        <v>581</v>
      </c>
      <c r="D44" s="5"/>
      <c r="E44" s="5" t="s">
        <v>579</v>
      </c>
      <c r="F44" s="8" t="s">
        <v>295</v>
      </c>
      <c r="G44" s="5">
        <v>1</v>
      </c>
      <c r="H44" s="5"/>
      <c r="I44" s="5"/>
      <c r="J44" s="5"/>
      <c r="K44" s="5"/>
      <c r="L44" s="5" t="s">
        <v>130</v>
      </c>
      <c r="M44" s="5"/>
      <c r="N44" s="5"/>
      <c r="O44" s="5"/>
      <c r="P44" s="5"/>
      <c r="Q44" s="5"/>
      <c r="R44" s="36">
        <v>0.5</v>
      </c>
      <c r="S44" s="36"/>
      <c r="T44" s="40"/>
      <c r="U44" s="40"/>
      <c r="V44" s="40"/>
      <c r="W44" s="5"/>
      <c r="X44" s="5"/>
      <c r="Y44" s="8"/>
      <c r="Z44" s="8"/>
      <c r="AA44" s="8"/>
      <c r="AB44" s="5">
        <v>300001</v>
      </c>
      <c r="AC44" s="5"/>
      <c r="AD44" s="5"/>
      <c r="AE44" s="44"/>
      <c r="AF44" s="44"/>
      <c r="AG44" s="44"/>
      <c r="AH44" s="44"/>
      <c r="AI44" s="44"/>
      <c r="AJ44" s="44"/>
      <c r="AK44" s="59" t="s">
        <v>577</v>
      </c>
      <c r="AL44" s="52" t="s">
        <v>207</v>
      </c>
      <c r="AM44" s="52"/>
      <c r="AN44" s="52"/>
      <c r="AO44" s="52"/>
      <c r="AP44" s="52"/>
      <c r="AQ44" s="5">
        <v>1</v>
      </c>
      <c r="AR44" t="s">
        <v>582</v>
      </c>
      <c r="AS44" t="e">
        <f>COUNTIF([1]Sheet1!$R:$U,C44)</f>
        <v>#VALUE!</v>
      </c>
    </row>
    <row r="45" spans="1:45" x14ac:dyDescent="0.2">
      <c r="A45" s="29">
        <v>202001</v>
      </c>
      <c r="B45" s="29" t="s">
        <v>162</v>
      </c>
      <c r="C45" s="29" t="s">
        <v>270</v>
      </c>
      <c r="D45" s="47"/>
      <c r="E45" s="47" t="s">
        <v>165</v>
      </c>
      <c r="F45" s="30" t="s">
        <v>341</v>
      </c>
      <c r="G45" s="47">
        <v>1</v>
      </c>
      <c r="H45" s="47">
        <v>0.3</v>
      </c>
      <c r="I45" s="47"/>
      <c r="J45" s="47"/>
      <c r="K45" s="47"/>
      <c r="L45" s="47" t="s">
        <v>390</v>
      </c>
      <c r="M45" s="47" t="s">
        <v>399</v>
      </c>
      <c r="N45" s="47">
        <v>20</v>
      </c>
      <c r="O45" s="47"/>
      <c r="P45" s="47"/>
      <c r="Q45" s="47"/>
      <c r="R45" s="38">
        <v>0.5</v>
      </c>
      <c r="S45" s="38"/>
      <c r="T45" s="41"/>
      <c r="U45" s="41"/>
      <c r="V45" s="41"/>
      <c r="W45" s="47"/>
      <c r="X45" s="47"/>
      <c r="Y45" s="27"/>
      <c r="Z45" s="27"/>
      <c r="AA45" s="27"/>
      <c r="AB45" s="47"/>
      <c r="AC45" s="47"/>
      <c r="AD45" s="47"/>
      <c r="AE45" s="45"/>
      <c r="AF45" s="45"/>
      <c r="AG45" s="45"/>
      <c r="AH45" s="45"/>
      <c r="AI45" s="45"/>
      <c r="AJ45" s="45"/>
      <c r="AK45" s="47" t="s">
        <v>383</v>
      </c>
      <c r="AL45" s="53"/>
      <c r="AM45" s="53"/>
      <c r="AN45" s="53"/>
      <c r="AO45" s="53" t="s">
        <v>60</v>
      </c>
      <c r="AP45" s="53"/>
      <c r="AQ45" s="47">
        <v>2</v>
      </c>
      <c r="AR45" s="56" t="s">
        <v>61</v>
      </c>
      <c r="AS45" t="e">
        <f>COUNTIF([1]Sheet1!$R:$U,C45)</f>
        <v>#VALUE!</v>
      </c>
    </row>
    <row r="46" spans="1:45" x14ac:dyDescent="0.2">
      <c r="A46" s="10">
        <v>202002</v>
      </c>
      <c r="B46" s="10" t="s">
        <v>66</v>
      </c>
      <c r="C46" s="10" t="s">
        <v>271</v>
      </c>
      <c r="D46" s="5"/>
      <c r="E46" s="5" t="s">
        <v>64</v>
      </c>
      <c r="F46" s="10"/>
      <c r="G46" s="5">
        <v>1</v>
      </c>
      <c r="H46" s="5">
        <v>0.5</v>
      </c>
      <c r="I46" s="5">
        <v>0.5</v>
      </c>
      <c r="J46" s="5"/>
      <c r="K46" s="5"/>
      <c r="L46" s="5" t="s">
        <v>130</v>
      </c>
      <c r="M46" s="5" t="s">
        <v>400</v>
      </c>
      <c r="N46" s="5"/>
      <c r="O46" s="5"/>
      <c r="P46" s="5"/>
      <c r="Q46" s="5"/>
      <c r="R46" s="36">
        <v>0.7</v>
      </c>
      <c r="S46" s="36"/>
      <c r="T46" s="40"/>
      <c r="U46" s="40"/>
      <c r="V46" s="40"/>
      <c r="W46" s="5"/>
      <c r="X46" s="5"/>
      <c r="Y46" s="8"/>
      <c r="Z46" s="8"/>
      <c r="AA46" s="8"/>
      <c r="AB46" s="5"/>
      <c r="AC46" s="5"/>
      <c r="AD46" s="5"/>
      <c r="AE46" s="44"/>
      <c r="AF46" s="44"/>
      <c r="AG46" s="44"/>
      <c r="AH46" s="44"/>
      <c r="AI46" s="44"/>
      <c r="AJ46" s="44"/>
      <c r="AK46" s="5" t="s">
        <v>382</v>
      </c>
      <c r="AL46" s="52"/>
      <c r="AM46" s="52"/>
      <c r="AN46" s="52"/>
      <c r="AO46" s="52"/>
      <c r="AP46" s="52"/>
      <c r="AQ46" s="5">
        <v>3</v>
      </c>
      <c r="AR46" s="57" t="s">
        <v>65</v>
      </c>
      <c r="AS46" t="e">
        <f>COUNTIF([1]Sheet1!$R:$U,C46)</f>
        <v>#VALUE!</v>
      </c>
    </row>
    <row r="47" spans="1:45" x14ac:dyDescent="0.2">
      <c r="A47" s="10">
        <v>202003</v>
      </c>
      <c r="B47" s="14" t="s">
        <v>119</v>
      </c>
      <c r="C47" s="10" t="s">
        <v>291</v>
      </c>
      <c r="D47" s="5" t="s">
        <v>508</v>
      </c>
      <c r="E47" s="5" t="s">
        <v>368</v>
      </c>
      <c r="F47" s="13" t="s">
        <v>341</v>
      </c>
      <c r="G47" s="5">
        <v>1</v>
      </c>
      <c r="H47" s="5">
        <v>0.3</v>
      </c>
      <c r="I47" s="5"/>
      <c r="J47" s="5"/>
      <c r="K47" s="5"/>
      <c r="L47" s="5" t="s">
        <v>389</v>
      </c>
      <c r="M47" s="5" t="s">
        <v>387</v>
      </c>
      <c r="N47" s="5"/>
      <c r="O47" s="49"/>
      <c r="P47" s="49"/>
      <c r="Q47" s="5"/>
      <c r="R47" s="36">
        <v>0.5</v>
      </c>
      <c r="S47" s="36"/>
      <c r="T47" s="40"/>
      <c r="U47" s="40"/>
      <c r="V47" s="40"/>
      <c r="W47" s="5"/>
      <c r="X47" s="5"/>
      <c r="Y47" s="8">
        <v>1</v>
      </c>
      <c r="Z47" s="8" t="s">
        <v>416</v>
      </c>
      <c r="AA47" s="8"/>
      <c r="AB47" s="5"/>
      <c r="AC47" s="5"/>
      <c r="AD47" s="5"/>
      <c r="AE47" s="44"/>
      <c r="AF47" s="44"/>
      <c r="AG47" s="44"/>
      <c r="AH47" s="44"/>
      <c r="AI47" s="44"/>
      <c r="AJ47" s="44"/>
      <c r="AK47" s="5" t="s">
        <v>383</v>
      </c>
      <c r="AL47" s="52"/>
      <c r="AM47" s="52"/>
      <c r="AN47" s="52"/>
      <c r="AO47" s="52" t="s">
        <v>60</v>
      </c>
      <c r="AP47" s="52"/>
      <c r="AQ47" s="5">
        <v>3</v>
      </c>
      <c r="AR47" s="57" t="s">
        <v>120</v>
      </c>
      <c r="AS47" t="e">
        <f>COUNTIF([1]Sheet1!$R:$U,C47)</f>
        <v>#VALUE!</v>
      </c>
    </row>
    <row r="48" spans="1:45" x14ac:dyDescent="0.2">
      <c r="A48" s="10">
        <v>202004</v>
      </c>
      <c r="B48" s="10" t="s">
        <v>366</v>
      </c>
      <c r="C48" s="10" t="s">
        <v>416</v>
      </c>
      <c r="D48" s="5"/>
      <c r="E48" s="5" t="s">
        <v>342</v>
      </c>
      <c r="F48" s="13" t="s">
        <v>341</v>
      </c>
      <c r="G48" s="5">
        <v>1</v>
      </c>
      <c r="H48" s="5">
        <v>0.3</v>
      </c>
      <c r="I48" s="5"/>
      <c r="J48" s="5"/>
      <c r="K48" s="5"/>
      <c r="L48" s="5" t="s">
        <v>389</v>
      </c>
      <c r="M48" s="5" t="s">
        <v>388</v>
      </c>
      <c r="N48" s="5"/>
      <c r="O48" s="49"/>
      <c r="P48" s="49"/>
      <c r="Q48" s="5"/>
      <c r="R48" s="36">
        <v>0.3</v>
      </c>
      <c r="S48" s="36"/>
      <c r="T48" s="40"/>
      <c r="U48" s="40"/>
      <c r="V48" s="40"/>
      <c r="W48" s="5"/>
      <c r="X48" s="5"/>
      <c r="Y48" s="8"/>
      <c r="Z48" s="8"/>
      <c r="AA48" s="8"/>
      <c r="AB48" s="5"/>
      <c r="AC48" s="5"/>
      <c r="AD48" s="5"/>
      <c r="AE48" s="44"/>
      <c r="AF48" s="44"/>
      <c r="AG48" s="44"/>
      <c r="AH48" s="44"/>
      <c r="AI48" s="44"/>
      <c r="AJ48" s="44"/>
      <c r="AK48" s="5" t="s">
        <v>383</v>
      </c>
      <c r="AL48" s="52"/>
      <c r="AM48" s="52"/>
      <c r="AN48" s="52"/>
      <c r="AO48" s="52" t="s">
        <v>60</v>
      </c>
      <c r="AP48" s="52"/>
      <c r="AQ48" s="5">
        <v>1</v>
      </c>
      <c r="AR48" s="57" t="s">
        <v>367</v>
      </c>
      <c r="AS48" t="e">
        <f>COUNTIF([1]Sheet1!$R:$U,C48)</f>
        <v>#VALUE!</v>
      </c>
    </row>
    <row r="49" spans="1:45" x14ac:dyDescent="0.2">
      <c r="A49" s="10">
        <v>202005</v>
      </c>
      <c r="B49" s="15" t="s">
        <v>223</v>
      </c>
      <c r="C49" s="10" t="s">
        <v>285</v>
      </c>
      <c r="D49" s="5"/>
      <c r="E49" s="5" t="s">
        <v>224</v>
      </c>
      <c r="F49" s="10"/>
      <c r="G49" s="5">
        <v>1</v>
      </c>
      <c r="H49" s="5">
        <v>1</v>
      </c>
      <c r="I49" s="5">
        <v>8</v>
      </c>
      <c r="J49" s="5">
        <v>1.5</v>
      </c>
      <c r="K49" s="5"/>
      <c r="L49" s="5" t="s">
        <v>130</v>
      </c>
      <c r="M49" s="5"/>
      <c r="N49" s="5">
        <v>50</v>
      </c>
      <c r="O49" s="5"/>
      <c r="P49" s="5"/>
      <c r="Q49" s="5"/>
      <c r="R49" s="36">
        <v>0.18</v>
      </c>
      <c r="S49" s="36"/>
      <c r="T49" s="40"/>
      <c r="U49" s="40"/>
      <c r="V49" s="40"/>
      <c r="W49" s="5"/>
      <c r="X49" s="5"/>
      <c r="Y49" s="8"/>
      <c r="Z49" s="8"/>
      <c r="AA49" s="8"/>
      <c r="AB49" s="5">
        <v>300001</v>
      </c>
      <c r="AC49" s="5"/>
      <c r="AD49" s="5">
        <v>10</v>
      </c>
      <c r="AE49" s="44"/>
      <c r="AF49" s="44"/>
      <c r="AG49" s="44"/>
      <c r="AH49" s="44"/>
      <c r="AI49" s="44"/>
      <c r="AJ49" s="44"/>
      <c r="AK49" s="5" t="s">
        <v>391</v>
      </c>
      <c r="AL49" s="52" t="s">
        <v>207</v>
      </c>
      <c r="AM49" s="52"/>
      <c r="AN49" s="52"/>
      <c r="AO49" s="52" t="s">
        <v>70</v>
      </c>
      <c r="AP49" s="52"/>
      <c r="AQ49" s="5">
        <v>1</v>
      </c>
      <c r="AR49" s="5" t="s">
        <v>225</v>
      </c>
      <c r="AS49" t="e">
        <f>COUNTIF([1]Sheet1!$R:$U,C49)</f>
        <v>#VALUE!</v>
      </c>
    </row>
    <row r="50" spans="1:45" x14ac:dyDescent="0.2">
      <c r="A50" s="10">
        <v>202006</v>
      </c>
      <c r="B50" s="10" t="s">
        <v>306</v>
      </c>
      <c r="C50" s="10" t="s">
        <v>319</v>
      </c>
      <c r="D50" s="5"/>
      <c r="E50" s="5" t="s">
        <v>305</v>
      </c>
      <c r="F50" s="13" t="s">
        <v>341</v>
      </c>
      <c r="G50" s="5">
        <v>1</v>
      </c>
      <c r="H50" s="5">
        <v>0.3</v>
      </c>
      <c r="I50" s="5">
        <v>0.5</v>
      </c>
      <c r="J50" s="5"/>
      <c r="K50" s="5">
        <v>0.35</v>
      </c>
      <c r="L50" s="5" t="s">
        <v>130</v>
      </c>
      <c r="M50" s="5"/>
      <c r="N50" s="5"/>
      <c r="O50" s="5"/>
      <c r="P50" s="5"/>
      <c r="Q50" s="5"/>
      <c r="R50" s="36">
        <v>0.5</v>
      </c>
      <c r="S50" s="36"/>
      <c r="T50" s="40"/>
      <c r="U50" s="40"/>
      <c r="V50" s="40"/>
      <c r="W50" s="5"/>
      <c r="X50" s="5"/>
      <c r="Y50" s="8"/>
      <c r="Z50" s="8"/>
      <c r="AA50" s="8"/>
      <c r="AB50" s="5"/>
      <c r="AC50" s="5"/>
      <c r="AD50" s="5"/>
      <c r="AE50" s="44"/>
      <c r="AF50" s="44"/>
      <c r="AG50" s="44"/>
      <c r="AH50" s="44"/>
      <c r="AI50" s="44"/>
      <c r="AJ50" s="44"/>
      <c r="AK50" s="5" t="s">
        <v>308</v>
      </c>
      <c r="AL50" s="52"/>
      <c r="AM50" s="52"/>
      <c r="AN50" s="52"/>
      <c r="AO50" s="52"/>
      <c r="AP50" s="52"/>
      <c r="AQ50" s="5">
        <v>3</v>
      </c>
      <c r="AR50" s="57" t="s">
        <v>307</v>
      </c>
      <c r="AS50" t="e">
        <f>COUNTIF([1]Sheet1!$R:$U,C50)</f>
        <v>#VALUE!</v>
      </c>
    </row>
    <row r="51" spans="1:45" x14ac:dyDescent="0.2">
      <c r="A51" s="10">
        <v>202007</v>
      </c>
      <c r="B51" s="15" t="s">
        <v>413</v>
      </c>
      <c r="C51" s="10" t="s">
        <v>401</v>
      </c>
      <c r="D51" s="5" t="s">
        <v>508</v>
      </c>
      <c r="E51" s="5" t="s">
        <v>414</v>
      </c>
      <c r="F51" s="13" t="s">
        <v>341</v>
      </c>
      <c r="G51" s="5">
        <v>1</v>
      </c>
      <c r="H51" s="5">
        <v>0.3</v>
      </c>
      <c r="I51" s="5">
        <v>0.5</v>
      </c>
      <c r="J51" s="5"/>
      <c r="K51" s="5"/>
      <c r="L51" s="5" t="s">
        <v>103</v>
      </c>
      <c r="M51" s="5" t="s">
        <v>403</v>
      </c>
      <c r="N51" s="5"/>
      <c r="O51" s="5"/>
      <c r="P51" s="5"/>
      <c r="Q51" s="5"/>
      <c r="R51" s="36">
        <v>0.5</v>
      </c>
      <c r="S51" s="36"/>
      <c r="T51" s="40"/>
      <c r="U51" s="40"/>
      <c r="V51" s="40"/>
      <c r="W51" s="5"/>
      <c r="X51" s="5"/>
      <c r="Y51" s="8">
        <v>1</v>
      </c>
      <c r="Z51" s="8" t="s">
        <v>407</v>
      </c>
      <c r="AA51" s="8"/>
      <c r="AB51" s="5"/>
      <c r="AC51" s="5"/>
      <c r="AD51" s="5"/>
      <c r="AE51" s="44"/>
      <c r="AF51" s="44"/>
      <c r="AG51" s="44"/>
      <c r="AH51" s="44"/>
      <c r="AI51" s="44"/>
      <c r="AJ51" s="44"/>
      <c r="AK51" s="5" t="s">
        <v>402</v>
      </c>
      <c r="AL51" s="52"/>
      <c r="AM51" s="52"/>
      <c r="AN51" s="52"/>
      <c r="AO51" s="52"/>
      <c r="AP51" s="52"/>
      <c r="AQ51" s="5">
        <v>3</v>
      </c>
      <c r="AR51" s="57" t="s">
        <v>405</v>
      </c>
      <c r="AS51" t="e">
        <f>COUNTIF([1]Sheet1!$R:$U,C51)</f>
        <v>#VALUE!</v>
      </c>
    </row>
    <row r="52" spans="1:45" x14ac:dyDescent="0.2">
      <c r="A52" s="10">
        <v>202008</v>
      </c>
      <c r="B52" s="10" t="s">
        <v>428</v>
      </c>
      <c r="C52" s="10" t="s">
        <v>406</v>
      </c>
      <c r="D52" s="5"/>
      <c r="E52" s="5" t="s">
        <v>410</v>
      </c>
      <c r="F52" s="13" t="s">
        <v>341</v>
      </c>
      <c r="G52" s="5">
        <v>1</v>
      </c>
      <c r="H52" s="5">
        <v>0.3</v>
      </c>
      <c r="I52" s="5">
        <v>0.5</v>
      </c>
      <c r="J52" s="5"/>
      <c r="K52" s="5"/>
      <c r="L52" s="5" t="s">
        <v>103</v>
      </c>
      <c r="M52" s="5" t="s">
        <v>403</v>
      </c>
      <c r="N52" s="5"/>
      <c r="O52" s="5"/>
      <c r="P52" s="5"/>
      <c r="Q52" s="5"/>
      <c r="R52" s="36">
        <v>0.5</v>
      </c>
      <c r="S52" s="36"/>
      <c r="T52" s="40"/>
      <c r="U52" s="40"/>
      <c r="V52" s="40"/>
      <c r="W52" s="5"/>
      <c r="X52" s="5"/>
      <c r="Y52" s="8"/>
      <c r="Z52" s="8"/>
      <c r="AA52" s="8"/>
      <c r="AB52" s="5"/>
      <c r="AC52" s="5"/>
      <c r="AD52" s="5"/>
      <c r="AE52" s="44"/>
      <c r="AF52" s="44"/>
      <c r="AG52" s="44"/>
      <c r="AH52" s="44"/>
      <c r="AI52" s="44"/>
      <c r="AJ52" s="44"/>
      <c r="AK52" s="5" t="s">
        <v>402</v>
      </c>
      <c r="AL52" s="52"/>
      <c r="AM52" s="52"/>
      <c r="AN52" s="52"/>
      <c r="AO52" s="52"/>
      <c r="AP52" s="52"/>
      <c r="AQ52" s="5">
        <v>1</v>
      </c>
      <c r="AR52" s="57" t="s">
        <v>404</v>
      </c>
      <c r="AS52" t="e">
        <f>COUNTIF([1]Sheet1!$R:$U,C52)</f>
        <v>#VALUE!</v>
      </c>
    </row>
    <row r="53" spans="1:45" x14ac:dyDescent="0.2">
      <c r="A53" s="10">
        <v>202009</v>
      </c>
      <c r="B53" s="15" t="s">
        <v>426</v>
      </c>
      <c r="C53" s="10" t="s">
        <v>365</v>
      </c>
      <c r="D53" s="5" t="s">
        <v>509</v>
      </c>
      <c r="E53" s="5" t="s">
        <v>417</v>
      </c>
      <c r="F53" s="13" t="s">
        <v>341</v>
      </c>
      <c r="G53" s="5">
        <v>1</v>
      </c>
      <c r="H53" s="5"/>
      <c r="I53" s="5"/>
      <c r="J53" s="5"/>
      <c r="K53" s="5"/>
      <c r="L53" s="5" t="s">
        <v>103</v>
      </c>
      <c r="M53" s="5" t="s">
        <v>403</v>
      </c>
      <c r="N53" s="5"/>
      <c r="O53" s="5"/>
      <c r="P53" s="5"/>
      <c r="Q53" s="5"/>
      <c r="R53" s="36">
        <v>0.5</v>
      </c>
      <c r="S53" s="36"/>
      <c r="T53" s="40"/>
      <c r="U53" s="40"/>
      <c r="V53" s="40"/>
      <c r="W53" s="5"/>
      <c r="X53" s="5"/>
      <c r="Y53" s="8">
        <v>1</v>
      </c>
      <c r="Z53" s="8" t="s">
        <v>418</v>
      </c>
      <c r="AA53" s="8"/>
      <c r="AB53" s="5"/>
      <c r="AC53" s="49" t="s">
        <v>467</v>
      </c>
      <c r="AD53" s="5"/>
      <c r="AE53" s="44"/>
      <c r="AF53" s="44"/>
      <c r="AG53" s="44"/>
      <c r="AH53" s="44"/>
      <c r="AI53" s="44"/>
      <c r="AJ53" s="44"/>
      <c r="AK53" s="5" t="s">
        <v>412</v>
      </c>
      <c r="AL53" s="52"/>
      <c r="AM53" s="52"/>
      <c r="AN53" s="52"/>
      <c r="AO53" s="52"/>
      <c r="AP53" s="52"/>
      <c r="AQ53" s="5">
        <v>3</v>
      </c>
      <c r="AR53" s="5" t="s">
        <v>419</v>
      </c>
      <c r="AS53" t="e">
        <f>COUNTIF([1]Sheet1!$R:$U,C53)</f>
        <v>#VALUE!</v>
      </c>
    </row>
    <row r="54" spans="1:45" x14ac:dyDescent="0.2">
      <c r="A54" s="10">
        <v>202010</v>
      </c>
      <c r="B54" s="10" t="s">
        <v>427</v>
      </c>
      <c r="C54" s="10" t="s">
        <v>415</v>
      </c>
      <c r="D54" s="5"/>
      <c r="E54" s="5" t="s">
        <v>411</v>
      </c>
      <c r="F54" s="13" t="s">
        <v>341</v>
      </c>
      <c r="G54" s="5">
        <v>1</v>
      </c>
      <c r="H54" s="5"/>
      <c r="I54" s="5"/>
      <c r="J54" s="5"/>
      <c r="K54" s="5"/>
      <c r="L54" s="5" t="s">
        <v>103</v>
      </c>
      <c r="M54" s="5" t="s">
        <v>403</v>
      </c>
      <c r="N54" s="5"/>
      <c r="O54" s="5"/>
      <c r="P54" s="5"/>
      <c r="Q54" s="5"/>
      <c r="R54" s="36">
        <v>0.5</v>
      </c>
      <c r="S54" s="36"/>
      <c r="T54" s="40"/>
      <c r="U54" s="40"/>
      <c r="V54" s="40"/>
      <c r="W54" s="5"/>
      <c r="X54" s="5"/>
      <c r="Y54" s="8"/>
      <c r="Z54" s="8"/>
      <c r="AA54" s="8"/>
      <c r="AB54" s="5"/>
      <c r="AC54" s="49" t="s">
        <v>468</v>
      </c>
      <c r="AD54" s="5"/>
      <c r="AE54" s="44"/>
      <c r="AF54" s="44"/>
      <c r="AG54" s="44"/>
      <c r="AH54" s="44"/>
      <c r="AI54" s="44"/>
      <c r="AJ54" s="44"/>
      <c r="AK54" s="5" t="s">
        <v>412</v>
      </c>
      <c r="AL54" s="52"/>
      <c r="AM54" s="52"/>
      <c r="AN54" s="52"/>
      <c r="AO54" s="52"/>
      <c r="AP54" s="52"/>
      <c r="AQ54" s="5">
        <v>1</v>
      </c>
      <c r="AR54" s="5" t="s">
        <v>420</v>
      </c>
      <c r="AS54" t="e">
        <f>COUNTIF([1]Sheet1!$R:$U,C54)</f>
        <v>#VALUE!</v>
      </c>
    </row>
    <row r="55" spans="1:45" x14ac:dyDescent="0.2">
      <c r="A55" s="10">
        <v>202011</v>
      </c>
      <c r="B55" s="10" t="s">
        <v>494</v>
      </c>
      <c r="C55" s="10" t="s">
        <v>493</v>
      </c>
      <c r="D55" s="5"/>
      <c r="E55" s="5" t="s">
        <v>429</v>
      </c>
      <c r="F55" s="13" t="s">
        <v>341</v>
      </c>
      <c r="G55" s="5">
        <v>1</v>
      </c>
      <c r="H55" s="5"/>
      <c r="I55" s="5"/>
      <c r="J55" s="5"/>
      <c r="K55" s="5"/>
      <c r="L55" s="5" t="s">
        <v>130</v>
      </c>
      <c r="M55" s="5"/>
      <c r="N55" s="5"/>
      <c r="O55" s="5"/>
      <c r="P55" s="5"/>
      <c r="Q55" s="5"/>
      <c r="R55" s="36">
        <v>0.2</v>
      </c>
      <c r="S55" s="36"/>
      <c r="T55" s="40"/>
      <c r="U55" s="40"/>
      <c r="V55" s="40"/>
      <c r="W55" s="5"/>
      <c r="X55" s="5"/>
      <c r="Y55" s="8"/>
      <c r="Z55" s="8"/>
      <c r="AA55" s="8"/>
      <c r="AB55" s="5"/>
      <c r="AC55" s="5"/>
      <c r="AD55" s="5"/>
      <c r="AE55" s="44"/>
      <c r="AF55" s="44"/>
      <c r="AG55" s="44"/>
      <c r="AH55" s="44"/>
      <c r="AI55" s="44"/>
      <c r="AJ55" s="44"/>
      <c r="AK55" s="5" t="s">
        <v>432</v>
      </c>
      <c r="AL55" s="52"/>
      <c r="AM55" s="52"/>
      <c r="AN55" s="52"/>
      <c r="AO55" s="52"/>
      <c r="AP55" s="52"/>
      <c r="AQ55" s="5">
        <v>1</v>
      </c>
      <c r="AR55" s="5" t="s">
        <v>518</v>
      </c>
      <c r="AS55" t="e">
        <f>COUNTIF([1]Sheet1!$R:$U,C55)</f>
        <v>#VALUE!</v>
      </c>
    </row>
    <row r="56" spans="1:45" x14ac:dyDescent="0.2">
      <c r="A56" s="10">
        <v>202012</v>
      </c>
      <c r="B56" s="15" t="s">
        <v>434</v>
      </c>
      <c r="C56" s="10" t="s">
        <v>431</v>
      </c>
      <c r="D56" s="5" t="s">
        <v>510</v>
      </c>
      <c r="E56" s="5" t="s">
        <v>430</v>
      </c>
      <c r="F56" s="13" t="s">
        <v>341</v>
      </c>
      <c r="G56" s="5">
        <v>1</v>
      </c>
      <c r="H56" s="5"/>
      <c r="I56" s="5"/>
      <c r="J56" s="5"/>
      <c r="K56" s="5"/>
      <c r="L56" s="5" t="s">
        <v>78</v>
      </c>
      <c r="M56" s="5"/>
      <c r="N56" s="5"/>
      <c r="O56" s="5"/>
      <c r="P56" s="5"/>
      <c r="Q56" s="5"/>
      <c r="R56" s="36">
        <v>0.2</v>
      </c>
      <c r="S56" s="36"/>
      <c r="T56" s="40"/>
      <c r="U56" s="40"/>
      <c r="V56" s="40"/>
      <c r="W56" s="5"/>
      <c r="X56" s="5"/>
      <c r="Y56" s="8">
        <v>2</v>
      </c>
      <c r="Z56" s="8" t="s">
        <v>493</v>
      </c>
      <c r="AA56" s="8"/>
      <c r="AB56" s="5"/>
      <c r="AC56" s="5"/>
      <c r="AD56" s="5"/>
      <c r="AE56" s="44"/>
      <c r="AF56" s="44"/>
      <c r="AG56" s="44"/>
      <c r="AH56" s="44"/>
      <c r="AI56" s="44"/>
      <c r="AJ56" s="44"/>
      <c r="AK56" s="5" t="s">
        <v>432</v>
      </c>
      <c r="AL56" s="52"/>
      <c r="AM56" s="52"/>
      <c r="AN56" s="52"/>
      <c r="AO56" s="52"/>
      <c r="AP56" s="52"/>
      <c r="AQ56" s="5">
        <v>2</v>
      </c>
      <c r="AR56" s="5" t="s">
        <v>433</v>
      </c>
      <c r="AS56" t="e">
        <f>COUNTIF([1]Sheet1!$R:$U,C56)</f>
        <v>#VALUE!</v>
      </c>
    </row>
    <row r="57" spans="1:45" x14ac:dyDescent="0.2">
      <c r="A57" s="10">
        <v>202013</v>
      </c>
      <c r="B57" s="10" t="s">
        <v>489</v>
      </c>
      <c r="C57" s="10" t="s">
        <v>491</v>
      </c>
      <c r="D57" s="5"/>
      <c r="E57" s="5" t="s">
        <v>486</v>
      </c>
      <c r="F57" s="13" t="s">
        <v>341</v>
      </c>
      <c r="G57" s="5">
        <v>1</v>
      </c>
      <c r="H57" s="5"/>
      <c r="I57" s="5"/>
      <c r="J57" s="5"/>
      <c r="K57" s="5"/>
      <c r="L57" s="5" t="s">
        <v>103</v>
      </c>
      <c r="M57" s="5"/>
      <c r="N57" s="5"/>
      <c r="O57" s="5"/>
      <c r="P57" s="5"/>
      <c r="Q57" s="5"/>
      <c r="R57" s="36"/>
      <c r="S57" s="36">
        <v>5</v>
      </c>
      <c r="T57" s="40"/>
      <c r="U57" s="40"/>
      <c r="V57" s="40"/>
      <c r="W57" s="5"/>
      <c r="X57" s="5"/>
      <c r="Y57" s="8"/>
      <c r="Z57" s="8"/>
      <c r="AA57" s="8"/>
      <c r="AB57" s="5"/>
      <c r="AC57" s="5"/>
      <c r="AD57" s="5"/>
      <c r="AE57" s="44"/>
      <c r="AF57" s="44"/>
      <c r="AG57" s="44"/>
      <c r="AH57" s="44"/>
      <c r="AI57" s="44"/>
      <c r="AJ57" s="44"/>
      <c r="AK57" s="5" t="s">
        <v>487</v>
      </c>
      <c r="AL57" s="52"/>
      <c r="AM57" s="52"/>
      <c r="AN57" s="52"/>
      <c r="AO57" s="52"/>
      <c r="AP57" s="52"/>
      <c r="AQ57" s="5">
        <v>1</v>
      </c>
      <c r="AR57" s="5" t="s">
        <v>492</v>
      </c>
      <c r="AS57" t="e">
        <f>COUNTIF([1]Sheet1!$R:$U,C57)</f>
        <v>#VALUE!</v>
      </c>
    </row>
    <row r="58" spans="1:45" x14ac:dyDescent="0.2">
      <c r="A58" s="31">
        <v>202014</v>
      </c>
      <c r="B58" s="32" t="s">
        <v>496</v>
      </c>
      <c r="C58" s="31" t="s">
        <v>485</v>
      </c>
      <c r="D58" s="48" t="s">
        <v>510</v>
      </c>
      <c r="E58" s="48" t="s">
        <v>495</v>
      </c>
      <c r="F58" s="33" t="s">
        <v>341</v>
      </c>
      <c r="G58" s="48">
        <v>1</v>
      </c>
      <c r="H58" s="48"/>
      <c r="I58" s="48"/>
      <c r="J58" s="48"/>
      <c r="K58" s="48"/>
      <c r="L58" s="48" t="s">
        <v>78</v>
      </c>
      <c r="M58" s="48"/>
      <c r="N58" s="48"/>
      <c r="O58" s="48"/>
      <c r="P58" s="48"/>
      <c r="Q58" s="48"/>
      <c r="R58" s="39"/>
      <c r="S58" s="39">
        <v>5</v>
      </c>
      <c r="T58" s="42"/>
      <c r="U58" s="42"/>
      <c r="V58" s="42"/>
      <c r="W58" s="48"/>
      <c r="X58" s="48"/>
      <c r="Y58" s="43">
        <v>3</v>
      </c>
      <c r="Z58" s="43" t="s">
        <v>490</v>
      </c>
      <c r="AA58" s="43"/>
      <c r="AB58" s="48"/>
      <c r="AC58" s="48"/>
      <c r="AD58" s="48"/>
      <c r="AE58" s="46"/>
      <c r="AF58" s="46"/>
      <c r="AG58" s="46"/>
      <c r="AH58" s="46"/>
      <c r="AI58" s="46"/>
      <c r="AJ58" s="46"/>
      <c r="AK58" s="48" t="s">
        <v>487</v>
      </c>
      <c r="AL58" s="54"/>
      <c r="AM58" s="54"/>
      <c r="AN58" s="54"/>
      <c r="AO58" s="54"/>
      <c r="AP58" s="54"/>
      <c r="AQ58" s="48">
        <v>2</v>
      </c>
      <c r="AR58" s="48" t="s">
        <v>488</v>
      </c>
      <c r="AS58" t="e">
        <f>COUNTIF([1]Sheet1!$R:$U,C58)</f>
        <v>#VALUE!</v>
      </c>
    </row>
    <row r="59" spans="1:45" x14ac:dyDescent="0.2">
      <c r="A59" s="25">
        <v>203002</v>
      </c>
      <c r="B59" s="26" t="s">
        <v>95</v>
      </c>
      <c r="C59" s="25" t="s">
        <v>286</v>
      </c>
      <c r="D59" s="47" t="s">
        <v>504</v>
      </c>
      <c r="E59" s="47" t="s">
        <v>100</v>
      </c>
      <c r="F59" s="27" t="s">
        <v>296</v>
      </c>
      <c r="G59" s="47">
        <v>1</v>
      </c>
      <c r="H59" s="47">
        <v>0.5</v>
      </c>
      <c r="I59" s="47">
        <v>3</v>
      </c>
      <c r="J59" s="47"/>
      <c r="K59" s="47"/>
      <c r="L59" s="47" t="s">
        <v>78</v>
      </c>
      <c r="M59" s="47"/>
      <c r="N59" s="47">
        <v>25</v>
      </c>
      <c r="O59" s="47"/>
      <c r="P59" s="47" t="s">
        <v>193</v>
      </c>
      <c r="Q59" s="47">
        <v>1</v>
      </c>
      <c r="R59" s="38"/>
      <c r="S59" s="38"/>
      <c r="T59" s="41"/>
      <c r="U59" s="41">
        <v>0.5</v>
      </c>
      <c r="V59" s="41"/>
      <c r="W59" s="47"/>
      <c r="X59" s="47"/>
      <c r="Y59" s="27"/>
      <c r="Z59" s="27"/>
      <c r="AA59" s="27"/>
      <c r="AB59" s="47">
        <v>301002</v>
      </c>
      <c r="AC59" s="47"/>
      <c r="AD59" s="47">
        <v>8</v>
      </c>
      <c r="AE59" s="45"/>
      <c r="AF59" s="45"/>
      <c r="AG59" s="45"/>
      <c r="AH59" s="45"/>
      <c r="AI59" s="45"/>
      <c r="AJ59" s="45"/>
      <c r="AK59" s="47" t="s">
        <v>96</v>
      </c>
      <c r="AL59" s="53" t="s">
        <v>174</v>
      </c>
      <c r="AM59" s="53"/>
      <c r="AN59" s="53"/>
      <c r="AO59" s="53" t="s">
        <v>197</v>
      </c>
      <c r="AP59" s="53"/>
      <c r="AQ59" s="47">
        <v>4</v>
      </c>
      <c r="AR59" s="56" t="s">
        <v>101</v>
      </c>
      <c r="AS59" t="e">
        <f>COUNTIF([1]Sheet1!$R:$U,C59)</f>
        <v>#VALUE!</v>
      </c>
    </row>
    <row r="60" spans="1:45" x14ac:dyDescent="0.2">
      <c r="A60" s="9">
        <v>203003</v>
      </c>
      <c r="B60" s="9" t="s">
        <v>317</v>
      </c>
      <c r="C60" s="9" t="s">
        <v>313</v>
      </c>
      <c r="D60" s="5"/>
      <c r="E60" s="5" t="s">
        <v>318</v>
      </c>
      <c r="F60" s="9"/>
      <c r="G60" s="5">
        <v>1</v>
      </c>
      <c r="H60" s="5">
        <v>0.2</v>
      </c>
      <c r="I60" s="5">
        <v>4</v>
      </c>
      <c r="J60" s="5"/>
      <c r="K60" s="5"/>
      <c r="L60" s="5" t="s">
        <v>103</v>
      </c>
      <c r="M60" s="5"/>
      <c r="N60" s="5"/>
      <c r="O60" s="5"/>
      <c r="P60" s="5"/>
      <c r="Q60" s="5"/>
      <c r="R60" s="36"/>
      <c r="S60" s="36">
        <v>2</v>
      </c>
      <c r="T60" s="40"/>
      <c r="U60" s="40"/>
      <c r="V60" s="40"/>
      <c r="W60" s="5"/>
      <c r="X60" s="5"/>
      <c r="Y60" s="8"/>
      <c r="Z60" s="8"/>
      <c r="AA60" s="8"/>
      <c r="AB60" s="5"/>
      <c r="AC60" s="5"/>
      <c r="AD60" s="5"/>
      <c r="AE60" s="44"/>
      <c r="AF60" s="44"/>
      <c r="AG60" s="44"/>
      <c r="AH60" s="44"/>
      <c r="AI60" s="44"/>
      <c r="AJ60" s="44"/>
      <c r="AK60" s="5" t="s">
        <v>315</v>
      </c>
      <c r="AL60" s="52" t="s">
        <v>207</v>
      </c>
      <c r="AM60" s="52"/>
      <c r="AN60" s="52"/>
      <c r="AO60" s="52"/>
      <c r="AP60" s="52"/>
      <c r="AQ60" s="5">
        <v>2</v>
      </c>
      <c r="AR60" s="5" t="s">
        <v>314</v>
      </c>
      <c r="AS60" t="e">
        <f>COUNTIF([1]Sheet1!$R:$U,C60)</f>
        <v>#VALUE!</v>
      </c>
    </row>
    <row r="61" spans="1:45" x14ac:dyDescent="0.2">
      <c r="A61" s="9">
        <v>203004</v>
      </c>
      <c r="B61" s="14" t="s">
        <v>126</v>
      </c>
      <c r="C61" s="9" t="s">
        <v>272</v>
      </c>
      <c r="D61" s="5"/>
      <c r="E61" s="5" t="s">
        <v>397</v>
      </c>
      <c r="F61" s="9"/>
      <c r="G61" s="5">
        <v>1</v>
      </c>
      <c r="H61" s="5">
        <v>0.2</v>
      </c>
      <c r="I61" s="5">
        <v>5</v>
      </c>
      <c r="J61" s="5"/>
      <c r="K61" s="5"/>
      <c r="L61" s="5" t="s">
        <v>130</v>
      </c>
      <c r="M61" s="5"/>
      <c r="N61" s="5">
        <v>20</v>
      </c>
      <c r="O61" s="5"/>
      <c r="P61" s="5" t="s">
        <v>194</v>
      </c>
      <c r="Q61" s="5">
        <v>3</v>
      </c>
      <c r="R61" s="36"/>
      <c r="S61" s="36"/>
      <c r="T61" s="40"/>
      <c r="U61" s="40"/>
      <c r="V61" s="40"/>
      <c r="W61" s="5"/>
      <c r="X61" s="5"/>
      <c r="Y61" s="8"/>
      <c r="Z61" s="8"/>
      <c r="AA61" s="8"/>
      <c r="AB61" s="60">
        <v>301001</v>
      </c>
      <c r="AC61" s="5"/>
      <c r="AD61" s="5">
        <v>1.5</v>
      </c>
      <c r="AE61" s="44"/>
      <c r="AF61" s="44"/>
      <c r="AG61" s="44"/>
      <c r="AH61" s="44"/>
      <c r="AI61" s="44"/>
      <c r="AJ61" s="44"/>
      <c r="AK61" s="5" t="s">
        <v>96</v>
      </c>
      <c r="AL61" s="52" t="s">
        <v>198</v>
      </c>
      <c r="AM61" s="52"/>
      <c r="AN61" s="52"/>
      <c r="AO61" s="52" t="s">
        <v>196</v>
      </c>
      <c r="AP61" s="52"/>
      <c r="AQ61" s="5">
        <v>4</v>
      </c>
      <c r="AR61" s="57" t="s">
        <v>127</v>
      </c>
      <c r="AS61" t="e">
        <f>COUNTIF([1]Sheet1!$R:$U,C61)</f>
        <v>#VALUE!</v>
      </c>
    </row>
    <row r="62" spans="1:45" x14ac:dyDescent="0.2">
      <c r="A62" s="9">
        <v>203005</v>
      </c>
      <c r="B62" s="9" t="s">
        <v>158</v>
      </c>
      <c r="C62" s="9" t="s">
        <v>287</v>
      </c>
      <c r="D62" s="5"/>
      <c r="E62" s="5" t="s">
        <v>622</v>
      </c>
      <c r="F62" s="9"/>
      <c r="G62" s="5">
        <v>1</v>
      </c>
      <c r="H62" s="5">
        <v>0.4</v>
      </c>
      <c r="I62" s="5">
        <v>2</v>
      </c>
      <c r="J62" s="5"/>
      <c r="K62" s="5"/>
      <c r="L62" s="5" t="s">
        <v>130</v>
      </c>
      <c r="M62" s="5"/>
      <c r="N62" s="5"/>
      <c r="O62" s="5"/>
      <c r="P62" s="5"/>
      <c r="Q62" s="5"/>
      <c r="R62" s="36">
        <v>0.4</v>
      </c>
      <c r="S62" s="36"/>
      <c r="T62" s="40"/>
      <c r="U62" s="40"/>
      <c r="V62" s="40"/>
      <c r="W62" s="5"/>
      <c r="X62" s="5"/>
      <c r="Y62" s="8"/>
      <c r="Z62" s="8"/>
      <c r="AA62" s="8"/>
      <c r="AB62" s="5">
        <v>301003</v>
      </c>
      <c r="AC62" s="5"/>
      <c r="AD62" s="5">
        <v>3</v>
      </c>
      <c r="AE62" s="44"/>
      <c r="AF62" s="44"/>
      <c r="AG62" s="44"/>
      <c r="AH62" s="44"/>
      <c r="AI62" s="44"/>
      <c r="AJ62" s="44"/>
      <c r="AK62" s="5" t="s">
        <v>80</v>
      </c>
      <c r="AL62" s="52" t="s">
        <v>202</v>
      </c>
      <c r="AM62" s="52"/>
      <c r="AN62" s="52"/>
      <c r="AO62" s="52" t="s">
        <v>91</v>
      </c>
      <c r="AP62" s="52"/>
      <c r="AQ62" s="5">
        <v>2</v>
      </c>
      <c r="AR62" s="57" t="s">
        <v>159</v>
      </c>
      <c r="AS62" t="e">
        <f>COUNTIF([1]Sheet1!$R:$U,C62)</f>
        <v>#VALUE!</v>
      </c>
    </row>
    <row r="63" spans="1:45" x14ac:dyDescent="0.2">
      <c r="A63" s="9">
        <v>203006</v>
      </c>
      <c r="B63" s="9" t="s">
        <v>586</v>
      </c>
      <c r="C63" s="9" t="s">
        <v>587</v>
      </c>
      <c r="D63" s="5"/>
      <c r="E63" s="5" t="s">
        <v>623</v>
      </c>
      <c r="F63" s="9"/>
      <c r="G63" s="5">
        <v>1</v>
      </c>
      <c r="H63" s="5">
        <v>0.4</v>
      </c>
      <c r="I63" s="5">
        <v>3</v>
      </c>
      <c r="J63" s="5"/>
      <c r="K63" s="5"/>
      <c r="L63" s="5" t="s">
        <v>588</v>
      </c>
      <c r="M63" s="5"/>
      <c r="N63" s="5"/>
      <c r="O63" s="5"/>
      <c r="P63" s="5"/>
      <c r="Q63" s="5"/>
      <c r="R63" s="36">
        <v>0.3</v>
      </c>
      <c r="S63" s="36"/>
      <c r="T63" s="40"/>
      <c r="U63" s="40"/>
      <c r="V63" s="40"/>
      <c r="W63" s="5"/>
      <c r="X63" s="5"/>
      <c r="Y63" s="8"/>
      <c r="Z63" s="8"/>
      <c r="AA63" s="8"/>
      <c r="AB63" s="5">
        <v>301004</v>
      </c>
      <c r="AC63" s="5"/>
      <c r="AD63" s="5">
        <v>5</v>
      </c>
      <c r="AE63" s="44"/>
      <c r="AF63" s="44"/>
      <c r="AG63" s="44"/>
      <c r="AH63" s="44"/>
      <c r="AI63" s="44"/>
      <c r="AJ63" s="44"/>
      <c r="AK63" s="5" t="s">
        <v>80</v>
      </c>
      <c r="AL63" s="52" t="s">
        <v>207</v>
      </c>
      <c r="AM63" s="52"/>
      <c r="AN63" s="52"/>
      <c r="AO63" s="52" t="s">
        <v>125</v>
      </c>
      <c r="AP63" s="52"/>
      <c r="AQ63" s="5">
        <v>2</v>
      </c>
      <c r="AR63" s="57" t="s">
        <v>589</v>
      </c>
      <c r="AS63" t="e">
        <f>COUNTIF([1]Sheet1!$R:$U,C63)</f>
        <v>#VALUE!</v>
      </c>
    </row>
    <row r="64" spans="1:45" x14ac:dyDescent="0.2">
      <c r="A64" s="9">
        <v>203007</v>
      </c>
      <c r="B64" s="9" t="s">
        <v>621</v>
      </c>
      <c r="C64" s="9" t="s">
        <v>628</v>
      </c>
      <c r="D64" s="5"/>
      <c r="E64" s="5" t="s">
        <v>624</v>
      </c>
      <c r="F64" s="9"/>
      <c r="G64" s="5">
        <v>1</v>
      </c>
      <c r="H64" s="5">
        <v>0.4</v>
      </c>
      <c r="I64" s="5">
        <v>3</v>
      </c>
      <c r="J64" s="5"/>
      <c r="K64" s="5"/>
      <c r="L64" s="5" t="s">
        <v>129</v>
      </c>
      <c r="M64" s="5"/>
      <c r="N64" s="5"/>
      <c r="O64" s="5"/>
      <c r="P64" s="5"/>
      <c r="Q64" s="5"/>
      <c r="R64" s="36"/>
      <c r="S64" s="36"/>
      <c r="T64" s="40"/>
      <c r="U64" s="40"/>
      <c r="V64" s="40"/>
      <c r="W64" s="5"/>
      <c r="X64" s="5"/>
      <c r="Y64" s="8"/>
      <c r="Z64" s="8"/>
      <c r="AA64" s="8"/>
      <c r="AB64" s="5">
        <v>301005</v>
      </c>
      <c r="AC64" s="5"/>
      <c r="AD64" s="5">
        <v>4</v>
      </c>
      <c r="AE64" s="44"/>
      <c r="AF64" s="44"/>
      <c r="AG64" s="44"/>
      <c r="AH64" s="44"/>
      <c r="AI64" s="44"/>
      <c r="AJ64" s="44"/>
      <c r="AK64" s="5" t="s">
        <v>80</v>
      </c>
      <c r="AL64" s="52" t="s">
        <v>207</v>
      </c>
      <c r="AM64" s="52"/>
      <c r="AN64" s="52"/>
      <c r="AO64" s="52" t="s">
        <v>125</v>
      </c>
      <c r="AP64" s="52"/>
      <c r="AQ64" s="5">
        <v>2</v>
      </c>
      <c r="AR64" s="57" t="s">
        <v>630</v>
      </c>
      <c r="AS64" t="e">
        <f>COUNTIF([1]Sheet1!$R:$U,C64)</f>
        <v>#VALUE!</v>
      </c>
    </row>
    <row r="65" spans="1:45" x14ac:dyDescent="0.2">
      <c r="A65" s="9">
        <v>203008</v>
      </c>
      <c r="B65" s="9" t="s">
        <v>626</v>
      </c>
      <c r="C65" s="9" t="s">
        <v>627</v>
      </c>
      <c r="D65" s="5"/>
      <c r="E65" s="5" t="s">
        <v>625</v>
      </c>
      <c r="F65" s="9"/>
      <c r="G65" s="5">
        <v>1</v>
      </c>
      <c r="H65" s="5">
        <v>0.4</v>
      </c>
      <c r="I65" s="5">
        <v>4</v>
      </c>
      <c r="J65" s="5"/>
      <c r="K65" s="5"/>
      <c r="L65" s="5" t="s">
        <v>129</v>
      </c>
      <c r="M65" s="5"/>
      <c r="N65" s="5"/>
      <c r="O65" s="5"/>
      <c r="P65" s="5"/>
      <c r="Q65" s="5"/>
      <c r="R65" s="36"/>
      <c r="S65" s="36"/>
      <c r="T65" s="40"/>
      <c r="U65" s="40"/>
      <c r="V65" s="40">
        <v>0.1</v>
      </c>
      <c r="W65" s="5"/>
      <c r="X65" s="5"/>
      <c r="Y65" s="8"/>
      <c r="Z65" s="8"/>
      <c r="AA65" s="8"/>
      <c r="AB65" s="5">
        <v>301006</v>
      </c>
      <c r="AC65" s="5"/>
      <c r="AD65" s="5">
        <v>5.2</v>
      </c>
      <c r="AE65" s="44"/>
      <c r="AF65" s="44"/>
      <c r="AG65" s="44"/>
      <c r="AH65" s="44"/>
      <c r="AI65" s="44"/>
      <c r="AJ65" s="44"/>
      <c r="AK65" s="5" t="s">
        <v>80</v>
      </c>
      <c r="AL65" s="52" t="s">
        <v>207</v>
      </c>
      <c r="AM65" s="52"/>
      <c r="AN65" s="52"/>
      <c r="AO65" s="52" t="s">
        <v>125</v>
      </c>
      <c r="AP65" s="52"/>
      <c r="AQ65" s="5">
        <v>2</v>
      </c>
      <c r="AR65" s="57" t="s">
        <v>629</v>
      </c>
      <c r="AS65" t="e">
        <f>COUNTIF([1]Sheet1!$R:$U,C65)</f>
        <v>#VALUE!</v>
      </c>
    </row>
    <row r="66" spans="1:45" x14ac:dyDescent="0.2">
      <c r="A66" s="9">
        <v>203009</v>
      </c>
      <c r="B66" s="17" t="s">
        <v>435</v>
      </c>
      <c r="C66" s="9" t="s">
        <v>436</v>
      </c>
      <c r="D66" s="5" t="s">
        <v>511</v>
      </c>
      <c r="E66" s="5" t="s">
        <v>437</v>
      </c>
      <c r="F66" s="9"/>
      <c r="G66" s="5">
        <v>1</v>
      </c>
      <c r="H66" s="5">
        <v>0.4</v>
      </c>
      <c r="I66" s="5">
        <v>15</v>
      </c>
      <c r="J66" s="5"/>
      <c r="K66" s="5"/>
      <c r="L66" s="5" t="s">
        <v>229</v>
      </c>
      <c r="M66" s="5"/>
      <c r="N66" s="5">
        <v>15</v>
      </c>
      <c r="O66" s="5"/>
      <c r="P66" s="5"/>
      <c r="Q66" s="5"/>
      <c r="R66" s="36"/>
      <c r="S66" s="36"/>
      <c r="T66" s="40">
        <v>0.5</v>
      </c>
      <c r="U66" s="40">
        <v>0.5</v>
      </c>
      <c r="V66" s="40"/>
      <c r="W66" s="5">
        <v>4</v>
      </c>
      <c r="X66" s="5"/>
      <c r="Y66" s="8"/>
      <c r="Z66" s="8"/>
      <c r="AA66" s="8"/>
      <c r="AB66" s="5"/>
      <c r="AC66" s="5"/>
      <c r="AD66" s="5"/>
      <c r="AE66" s="44"/>
      <c r="AF66" s="44"/>
      <c r="AG66" s="44"/>
      <c r="AH66" s="44"/>
      <c r="AI66" s="44"/>
      <c r="AJ66" s="44"/>
      <c r="AK66" s="5" t="s">
        <v>114</v>
      </c>
      <c r="AL66" s="52" t="s">
        <v>302</v>
      </c>
      <c r="AM66" s="52" t="s">
        <v>117</v>
      </c>
      <c r="AN66" s="52"/>
      <c r="AO66" s="52" t="s">
        <v>117</v>
      </c>
      <c r="AP66" s="52"/>
      <c r="AQ66" s="5">
        <v>3</v>
      </c>
      <c r="AR66" s="5" t="s">
        <v>439</v>
      </c>
      <c r="AS66" t="e">
        <f>COUNTIF([1]Sheet1!$R:$U,C66)</f>
        <v>#VALUE!</v>
      </c>
    </row>
    <row r="67" spans="1:45" x14ac:dyDescent="0.2">
      <c r="A67" s="9">
        <v>203010</v>
      </c>
      <c r="B67" s="28" t="s">
        <v>441</v>
      </c>
      <c r="C67" s="28" t="s">
        <v>619</v>
      </c>
      <c r="D67" s="48"/>
      <c r="E67" s="48" t="s">
        <v>438</v>
      </c>
      <c r="F67" s="28"/>
      <c r="G67" s="48">
        <v>1</v>
      </c>
      <c r="H67" s="48">
        <v>0.4</v>
      </c>
      <c r="I67" s="48">
        <v>15</v>
      </c>
      <c r="J67" s="48"/>
      <c r="K67" s="48"/>
      <c r="L67" s="48" t="s">
        <v>229</v>
      </c>
      <c r="M67" s="48"/>
      <c r="N67" s="48">
        <v>15</v>
      </c>
      <c r="O67" s="48"/>
      <c r="P67" s="48"/>
      <c r="Q67" s="48"/>
      <c r="R67" s="39"/>
      <c r="S67" s="39"/>
      <c r="T67" s="42">
        <v>0.4</v>
      </c>
      <c r="U67" s="42">
        <v>0.01</v>
      </c>
      <c r="V67" s="42"/>
      <c r="W67" s="48">
        <v>4</v>
      </c>
      <c r="X67" s="48"/>
      <c r="Y67" s="43"/>
      <c r="Z67" s="43"/>
      <c r="AA67" s="43"/>
      <c r="AB67" s="48"/>
      <c r="AC67" s="48"/>
      <c r="AD67" s="48"/>
      <c r="AE67" s="46"/>
      <c r="AF67" s="46"/>
      <c r="AG67" s="46"/>
      <c r="AH67" s="46"/>
      <c r="AI67" s="46"/>
      <c r="AJ67" s="46"/>
      <c r="AK67" s="48" t="s">
        <v>114</v>
      </c>
      <c r="AL67" s="54" t="s">
        <v>207</v>
      </c>
      <c r="AM67" s="54" t="s">
        <v>117</v>
      </c>
      <c r="AN67" s="54"/>
      <c r="AO67" s="54" t="s">
        <v>117</v>
      </c>
      <c r="AP67" s="54"/>
      <c r="AQ67" s="48">
        <v>2</v>
      </c>
      <c r="AR67" s="48" t="s">
        <v>440</v>
      </c>
      <c r="AS67" t="e">
        <f>COUNTIF([1]Sheet1!$R:$U,C67)</f>
        <v>#VALUE!</v>
      </c>
    </row>
    <row r="68" spans="1:45" x14ac:dyDescent="0.2">
      <c r="A68" s="12">
        <v>208001</v>
      </c>
      <c r="B68" s="14" t="s">
        <v>244</v>
      </c>
      <c r="C68" s="12" t="s">
        <v>273</v>
      </c>
      <c r="D68" s="5" t="s">
        <v>503</v>
      </c>
      <c r="E68" s="5" t="s">
        <v>478</v>
      </c>
      <c r="F68" s="12" t="s">
        <v>253</v>
      </c>
      <c r="G68" s="5">
        <v>1</v>
      </c>
      <c r="H68" s="5"/>
      <c r="I68" s="5"/>
      <c r="J68" s="5"/>
      <c r="K68" s="5"/>
      <c r="L68" s="5" t="s">
        <v>78</v>
      </c>
      <c r="M68" s="5" t="s">
        <v>78</v>
      </c>
      <c r="N68" s="5"/>
      <c r="O68" s="5"/>
      <c r="P68" s="5"/>
      <c r="Q68" s="5"/>
      <c r="R68" s="36">
        <v>0.3</v>
      </c>
      <c r="S68" s="36"/>
      <c r="T68" s="40"/>
      <c r="U68" s="40"/>
      <c r="V68" s="40"/>
      <c r="W68" s="5"/>
      <c r="X68" s="5"/>
      <c r="Y68" s="8">
        <v>1</v>
      </c>
      <c r="Z68" s="8" t="s">
        <v>374</v>
      </c>
      <c r="AA68" s="8" t="s">
        <v>346</v>
      </c>
      <c r="AB68" s="5"/>
      <c r="AC68" s="5"/>
      <c r="AD68" s="5"/>
      <c r="AE68" s="44"/>
      <c r="AF68" s="44"/>
      <c r="AG68" s="44"/>
      <c r="AH68" s="44"/>
      <c r="AI68" s="44"/>
      <c r="AJ68" s="44"/>
      <c r="AK68" s="5" t="s">
        <v>462</v>
      </c>
      <c r="AL68" s="52"/>
      <c r="AM68" s="52"/>
      <c r="AN68" s="52"/>
      <c r="AO68" s="52"/>
      <c r="AP68" s="52"/>
      <c r="AQ68" s="5">
        <v>4</v>
      </c>
      <c r="AR68" s="55" t="s">
        <v>245</v>
      </c>
      <c r="AS68" t="e">
        <f>COUNTIF([1]Sheet1!$R:$U,C68)</f>
        <v>#VALUE!</v>
      </c>
    </row>
    <row r="69" spans="1:45" x14ac:dyDescent="0.2">
      <c r="A69" s="12">
        <v>208002</v>
      </c>
      <c r="B69" s="16" t="s">
        <v>375</v>
      </c>
      <c r="C69" s="12" t="s">
        <v>620</v>
      </c>
      <c r="D69" s="5"/>
      <c r="E69" s="5" t="s">
        <v>479</v>
      </c>
      <c r="F69" s="12" t="s">
        <v>253</v>
      </c>
      <c r="G69" s="5">
        <v>1</v>
      </c>
      <c r="H69" s="5"/>
      <c r="I69" s="5"/>
      <c r="J69" s="5"/>
      <c r="K69" s="5"/>
      <c r="L69" s="5" t="s">
        <v>78</v>
      </c>
      <c r="M69" s="5" t="s">
        <v>78</v>
      </c>
      <c r="N69" s="5"/>
      <c r="O69" s="5"/>
      <c r="P69" s="5"/>
      <c r="Q69" s="5"/>
      <c r="R69" s="36">
        <v>0.4</v>
      </c>
      <c r="S69" s="36"/>
      <c r="T69" s="40"/>
      <c r="U69" s="40"/>
      <c r="V69" s="40"/>
      <c r="W69" s="5"/>
      <c r="X69" s="5"/>
      <c r="Y69" s="8"/>
      <c r="Z69" s="8"/>
      <c r="AA69" s="8"/>
      <c r="AB69" s="5"/>
      <c r="AC69" s="5"/>
      <c r="AD69" s="5"/>
      <c r="AE69" s="44"/>
      <c r="AF69" s="44"/>
      <c r="AG69" s="44"/>
      <c r="AH69" s="44"/>
      <c r="AI69" s="44"/>
      <c r="AJ69" s="44"/>
      <c r="AK69" s="5" t="s">
        <v>250</v>
      </c>
      <c r="AL69" s="52"/>
      <c r="AM69" s="52"/>
      <c r="AN69" s="52"/>
      <c r="AO69" s="52"/>
      <c r="AP69" s="52"/>
      <c r="AQ69" s="5">
        <v>2</v>
      </c>
      <c r="AR69" s="55" t="s">
        <v>372</v>
      </c>
      <c r="AS69" t="e">
        <f>COUNTIF([1]Sheet1!$R:$U,C69)</f>
        <v>#VALUE!</v>
      </c>
    </row>
    <row r="70" spans="1:45" x14ac:dyDescent="0.2">
      <c r="A70" s="12">
        <v>208003</v>
      </c>
      <c r="B70" s="14" t="s">
        <v>94</v>
      </c>
      <c r="C70" s="12" t="s">
        <v>274</v>
      </c>
      <c r="D70" s="5"/>
      <c r="E70" s="5" t="s">
        <v>480</v>
      </c>
      <c r="F70" s="12" t="s">
        <v>252</v>
      </c>
      <c r="G70" s="5">
        <v>1</v>
      </c>
      <c r="H70" s="5">
        <v>0.3</v>
      </c>
      <c r="I70" s="5"/>
      <c r="J70" s="5"/>
      <c r="K70" s="5"/>
      <c r="L70" s="5" t="s">
        <v>78</v>
      </c>
      <c r="M70" s="5" t="s">
        <v>78</v>
      </c>
      <c r="N70" s="5"/>
      <c r="O70" s="5"/>
      <c r="P70" s="5"/>
      <c r="Q70" s="5"/>
      <c r="R70" s="36">
        <v>0.5</v>
      </c>
      <c r="S70" s="36"/>
      <c r="T70" s="40"/>
      <c r="U70" s="40"/>
      <c r="V70" s="40"/>
      <c r="W70" s="5"/>
      <c r="X70" s="5"/>
      <c r="Y70" s="8"/>
      <c r="Z70" s="8"/>
      <c r="AA70" s="8"/>
      <c r="AB70" s="5"/>
      <c r="AC70" s="5"/>
      <c r="AD70" s="5">
        <v>0.5</v>
      </c>
      <c r="AE70" s="44"/>
      <c r="AF70" s="44"/>
      <c r="AG70" s="44"/>
      <c r="AH70" s="44"/>
      <c r="AI70" s="44"/>
      <c r="AJ70" s="44"/>
      <c r="AK70" s="5" t="s">
        <v>251</v>
      </c>
      <c r="AL70" s="52"/>
      <c r="AM70" s="52"/>
      <c r="AN70" s="52"/>
      <c r="AO70" s="52"/>
      <c r="AP70" s="52"/>
      <c r="AQ70" s="5">
        <v>3</v>
      </c>
      <c r="AR70" s="55" t="s">
        <v>370</v>
      </c>
      <c r="AS70" t="e">
        <f>COUNTIF([1]Sheet1!$R:$U,C70)</f>
        <v>#VALUE!</v>
      </c>
    </row>
    <row r="71" spans="1:45" x14ac:dyDescent="0.2">
      <c r="A71" s="12">
        <v>208004</v>
      </c>
      <c r="B71" s="14" t="s">
        <v>369</v>
      </c>
      <c r="C71" s="12" t="s">
        <v>338</v>
      </c>
      <c r="D71" s="5" t="s">
        <v>505</v>
      </c>
      <c r="E71" s="5" t="s">
        <v>481</v>
      </c>
      <c r="F71" s="12" t="s">
        <v>301</v>
      </c>
      <c r="G71" s="5">
        <v>1</v>
      </c>
      <c r="H71" s="5">
        <v>0.5</v>
      </c>
      <c r="I71" s="5">
        <v>3</v>
      </c>
      <c r="J71" s="5"/>
      <c r="K71" s="5"/>
      <c r="L71" s="5" t="s">
        <v>78</v>
      </c>
      <c r="M71" s="5" t="s">
        <v>78</v>
      </c>
      <c r="N71" s="5">
        <v>30</v>
      </c>
      <c r="O71" s="5"/>
      <c r="P71" s="5"/>
      <c r="Q71" s="5">
        <v>2</v>
      </c>
      <c r="R71" s="36"/>
      <c r="S71" s="36"/>
      <c r="T71" s="40"/>
      <c r="U71" s="40"/>
      <c r="V71" s="40"/>
      <c r="W71" s="5"/>
      <c r="X71" s="5"/>
      <c r="Y71" s="8">
        <v>1</v>
      </c>
      <c r="Z71" s="8" t="s">
        <v>448</v>
      </c>
      <c r="AA71" s="8" t="s">
        <v>346</v>
      </c>
      <c r="AB71" s="5"/>
      <c r="AC71" s="5"/>
      <c r="AD71" s="5"/>
      <c r="AE71" s="44"/>
      <c r="AF71" s="44"/>
      <c r="AG71" s="44"/>
      <c r="AH71" s="44"/>
      <c r="AI71" s="44"/>
      <c r="AJ71" s="44"/>
      <c r="AK71" s="5" t="s">
        <v>449</v>
      </c>
      <c r="AL71" s="52"/>
      <c r="AM71" s="52"/>
      <c r="AN71" s="52"/>
      <c r="AO71" s="52"/>
      <c r="AP71" s="52"/>
      <c r="AQ71" s="5">
        <v>4</v>
      </c>
      <c r="AR71" s="55" t="s">
        <v>371</v>
      </c>
      <c r="AS71" t="e">
        <f>COUNTIF([1]Sheet1!$R:$U,C71)</f>
        <v>#VALUE!</v>
      </c>
    </row>
    <row r="72" spans="1:45" x14ac:dyDescent="0.2">
      <c r="A72" s="12">
        <v>208005</v>
      </c>
      <c r="B72" s="16" t="s">
        <v>376</v>
      </c>
      <c r="C72" s="12" t="s">
        <v>447</v>
      </c>
      <c r="D72" s="5"/>
      <c r="E72" s="5" t="s">
        <v>482</v>
      </c>
      <c r="F72" s="12" t="s">
        <v>253</v>
      </c>
      <c r="G72" s="5">
        <v>1</v>
      </c>
      <c r="H72" s="5">
        <v>0.5</v>
      </c>
      <c r="I72" s="5">
        <v>3</v>
      </c>
      <c r="J72" s="5"/>
      <c r="K72" s="5"/>
      <c r="L72" s="5" t="s">
        <v>78</v>
      </c>
      <c r="M72" s="5" t="s">
        <v>78</v>
      </c>
      <c r="N72" s="5">
        <v>30</v>
      </c>
      <c r="O72" s="5"/>
      <c r="P72" s="5"/>
      <c r="Q72" s="5">
        <v>2</v>
      </c>
      <c r="R72" s="36"/>
      <c r="S72" s="36"/>
      <c r="T72" s="40"/>
      <c r="U72" s="40"/>
      <c r="V72" s="40"/>
      <c r="W72" s="5"/>
      <c r="X72" s="5"/>
      <c r="Y72" s="8"/>
      <c r="Z72" s="8"/>
      <c r="AA72" s="8"/>
      <c r="AB72" s="5"/>
      <c r="AC72" s="5"/>
      <c r="AD72" s="5"/>
      <c r="AE72" s="44"/>
      <c r="AF72" s="44"/>
      <c r="AG72" s="44"/>
      <c r="AH72" s="44"/>
      <c r="AI72" s="44"/>
      <c r="AJ72" s="44"/>
      <c r="AK72" s="5" t="s">
        <v>449</v>
      </c>
      <c r="AL72" s="52"/>
      <c r="AM72" s="52"/>
      <c r="AN72" s="52"/>
      <c r="AO72" s="52"/>
      <c r="AP72" s="52"/>
      <c r="AQ72" s="5">
        <v>2</v>
      </c>
      <c r="AR72" s="55" t="s">
        <v>373</v>
      </c>
      <c r="AS72" t="e">
        <f>COUNTIF([1]Sheet1!$R:$U,C72)</f>
        <v>#VALUE!</v>
      </c>
    </row>
    <row r="73" spans="1:45" x14ac:dyDescent="0.2">
      <c r="A73" s="12">
        <v>208006</v>
      </c>
      <c r="B73" s="14" t="s">
        <v>455</v>
      </c>
      <c r="C73" s="12" t="s">
        <v>459</v>
      </c>
      <c r="D73" s="5" t="s">
        <v>506</v>
      </c>
      <c r="E73" s="5" t="s">
        <v>483</v>
      </c>
      <c r="F73" s="12" t="s">
        <v>252</v>
      </c>
      <c r="G73" s="5">
        <v>1</v>
      </c>
      <c r="H73" s="5">
        <v>0.5</v>
      </c>
      <c r="I73" s="5">
        <v>3</v>
      </c>
      <c r="J73" s="5"/>
      <c r="K73" s="5"/>
      <c r="L73" s="5" t="s">
        <v>78</v>
      </c>
      <c r="M73" s="5" t="s">
        <v>78</v>
      </c>
      <c r="N73" s="5">
        <v>30</v>
      </c>
      <c r="O73" s="5"/>
      <c r="P73" s="5"/>
      <c r="Q73" s="5">
        <v>2</v>
      </c>
      <c r="R73" s="36"/>
      <c r="S73" s="36"/>
      <c r="T73" s="40"/>
      <c r="U73" s="40"/>
      <c r="V73" s="40"/>
      <c r="W73" s="5"/>
      <c r="X73" s="5"/>
      <c r="Y73" s="8">
        <v>1</v>
      </c>
      <c r="Z73" s="8" t="s">
        <v>461</v>
      </c>
      <c r="AA73" s="8" t="s">
        <v>454</v>
      </c>
      <c r="AB73" s="5"/>
      <c r="AC73" s="5"/>
      <c r="AD73" s="5"/>
      <c r="AE73" s="44"/>
      <c r="AF73" s="44"/>
      <c r="AG73" s="44"/>
      <c r="AH73" s="44"/>
      <c r="AI73" s="44"/>
      <c r="AJ73" s="44"/>
      <c r="AK73" s="50" t="s">
        <v>452</v>
      </c>
      <c r="AL73" s="52"/>
      <c r="AM73" s="52"/>
      <c r="AN73" s="52"/>
      <c r="AO73" s="52"/>
      <c r="AP73" s="52"/>
      <c r="AQ73" s="5">
        <v>3</v>
      </c>
      <c r="AR73" s="55" t="s">
        <v>457</v>
      </c>
      <c r="AS73" t="e">
        <f>COUNTIF([1]Sheet1!$R:$U,C73)</f>
        <v>#VALUE!</v>
      </c>
    </row>
    <row r="74" spans="1:45" x14ac:dyDescent="0.2">
      <c r="A74" s="12">
        <v>208007</v>
      </c>
      <c r="B74" s="16" t="s">
        <v>456</v>
      </c>
      <c r="C74" s="12" t="s">
        <v>460</v>
      </c>
      <c r="D74" s="5"/>
      <c r="E74" s="5" t="s">
        <v>484</v>
      </c>
      <c r="F74" s="12" t="s">
        <v>252</v>
      </c>
      <c r="G74" s="5">
        <v>1</v>
      </c>
      <c r="H74" s="5">
        <v>0.5</v>
      </c>
      <c r="I74" s="5">
        <v>3</v>
      </c>
      <c r="J74" s="5"/>
      <c r="K74" s="5"/>
      <c r="L74" s="5" t="s">
        <v>78</v>
      </c>
      <c r="M74" s="5" t="s">
        <v>78</v>
      </c>
      <c r="N74" s="5">
        <v>30</v>
      </c>
      <c r="O74" s="5"/>
      <c r="P74" s="5"/>
      <c r="Q74" s="5">
        <v>2</v>
      </c>
      <c r="R74" s="36"/>
      <c r="S74" s="36"/>
      <c r="T74" s="40"/>
      <c r="U74" s="40"/>
      <c r="V74" s="40"/>
      <c r="W74" s="5"/>
      <c r="X74" s="5"/>
      <c r="Y74" s="8"/>
      <c r="Z74" s="8"/>
      <c r="AA74" s="8"/>
      <c r="AB74" s="5"/>
      <c r="AC74" s="5"/>
      <c r="AD74" s="5"/>
      <c r="AE74" s="44"/>
      <c r="AF74" s="44"/>
      <c r="AG74" s="44"/>
      <c r="AH74" s="44"/>
      <c r="AI74" s="44"/>
      <c r="AJ74" s="44"/>
      <c r="AK74" s="50" t="s">
        <v>452</v>
      </c>
      <c r="AL74" s="52"/>
      <c r="AM74" s="52"/>
      <c r="AN74" s="52"/>
      <c r="AO74" s="52"/>
      <c r="AP74" s="52"/>
      <c r="AQ74" s="5">
        <v>2</v>
      </c>
      <c r="AR74" s="55" t="s">
        <v>458</v>
      </c>
      <c r="AS74" t="e">
        <f>COUNTIF([1]Sheet1!$R:$U,C74)</f>
        <v>#VALUE!</v>
      </c>
    </row>
    <row r="75" spans="1:45" x14ac:dyDescent="0.2">
      <c r="A75" s="12">
        <v>208008</v>
      </c>
      <c r="B75" s="17" t="s">
        <v>614</v>
      </c>
      <c r="C75" s="12" t="s">
        <v>615</v>
      </c>
      <c r="D75" s="5" t="s">
        <v>611</v>
      </c>
      <c r="E75" s="5" t="s">
        <v>612</v>
      </c>
      <c r="F75" s="12" t="s">
        <v>252</v>
      </c>
      <c r="G75" s="5">
        <v>1</v>
      </c>
      <c r="H75" s="5"/>
      <c r="I75" s="5"/>
      <c r="J75" s="5"/>
      <c r="K75" s="5"/>
      <c r="L75" s="5" t="s">
        <v>78</v>
      </c>
      <c r="M75" s="5"/>
      <c r="N75" s="5"/>
      <c r="O75" s="5"/>
      <c r="P75" s="5"/>
      <c r="Q75" s="5"/>
      <c r="R75" s="36"/>
      <c r="S75" s="36"/>
      <c r="T75" s="40"/>
      <c r="U75" s="40"/>
      <c r="V75" s="40"/>
      <c r="W75" s="5"/>
      <c r="X75" s="5"/>
      <c r="Y75" s="8">
        <v>3</v>
      </c>
      <c r="Z75" s="8" t="s">
        <v>617</v>
      </c>
      <c r="AA75" s="8"/>
      <c r="AB75" s="5"/>
      <c r="AC75" s="5"/>
      <c r="AD75" s="5"/>
      <c r="AE75" s="44" t="s">
        <v>514</v>
      </c>
      <c r="AF75" s="44"/>
      <c r="AG75" s="44"/>
      <c r="AH75" s="44">
        <v>3</v>
      </c>
      <c r="AI75" s="44"/>
      <c r="AJ75" s="44"/>
      <c r="AK75" s="59" t="s">
        <v>613</v>
      </c>
      <c r="AL75" s="52"/>
      <c r="AM75" s="52"/>
      <c r="AN75" s="52"/>
      <c r="AO75" s="52"/>
      <c r="AP75" s="52"/>
      <c r="AQ75" s="5">
        <v>2</v>
      </c>
      <c r="AR75" s="55" t="s">
        <v>616</v>
      </c>
      <c r="AS75" t="e">
        <f>COUNTIF([1]Sheet1!$R:$U,C75)</f>
        <v>#VALUE!</v>
      </c>
    </row>
    <row r="76" spans="1:45" x14ac:dyDescent="0.2">
      <c r="A76" s="12">
        <v>208009</v>
      </c>
      <c r="B76" s="18" t="s">
        <v>469</v>
      </c>
      <c r="C76" s="12" t="s">
        <v>471</v>
      </c>
      <c r="D76" s="5"/>
      <c r="E76" s="5" t="s">
        <v>472</v>
      </c>
      <c r="F76" s="12" t="s">
        <v>252</v>
      </c>
      <c r="G76" s="5">
        <v>1</v>
      </c>
      <c r="H76" s="5"/>
      <c r="I76" s="5"/>
      <c r="J76" s="5"/>
      <c r="K76" s="5"/>
      <c r="L76" s="5" t="s">
        <v>78</v>
      </c>
      <c r="M76" s="5" t="s">
        <v>78</v>
      </c>
      <c r="N76" s="5"/>
      <c r="O76" s="5"/>
      <c r="P76" s="5"/>
      <c r="Q76" s="5"/>
      <c r="R76" s="36">
        <v>0.5</v>
      </c>
      <c r="S76" s="36"/>
      <c r="T76" s="40"/>
      <c r="U76" s="40"/>
      <c r="V76" s="40"/>
      <c r="W76" s="5"/>
      <c r="X76" s="5"/>
      <c r="Y76" s="8"/>
      <c r="Z76" s="8"/>
      <c r="AA76" s="8"/>
      <c r="AB76" s="5"/>
      <c r="AC76" s="5"/>
      <c r="AD76" s="5"/>
      <c r="AE76" s="44"/>
      <c r="AF76" s="44"/>
      <c r="AG76" s="44"/>
      <c r="AH76" s="44"/>
      <c r="AI76" s="44"/>
      <c r="AJ76" s="44"/>
      <c r="AK76" s="50" t="s">
        <v>408</v>
      </c>
      <c r="AL76" s="52"/>
      <c r="AM76" s="52"/>
      <c r="AN76" s="52"/>
      <c r="AO76" s="52"/>
      <c r="AP76" s="52"/>
      <c r="AQ76" s="5">
        <v>1</v>
      </c>
      <c r="AR76" s="55" t="s">
        <v>470</v>
      </c>
      <c r="AS76" t="e">
        <f>COUNTIF([1]Sheet1!$R:$U,C76)</f>
        <v>#VALUE!</v>
      </c>
    </row>
    <row r="77" spans="1:45" x14ac:dyDescent="0.2">
      <c r="A77" s="34">
        <v>209001</v>
      </c>
      <c r="B77" s="35" t="s">
        <v>203</v>
      </c>
      <c r="C77" s="34" t="s">
        <v>288</v>
      </c>
      <c r="D77" s="47"/>
      <c r="E77" s="47" t="s">
        <v>584</v>
      </c>
      <c r="F77" s="34"/>
      <c r="G77" s="47">
        <v>1</v>
      </c>
      <c r="H77" s="47"/>
      <c r="I77" s="47"/>
      <c r="J77" s="47"/>
      <c r="K77" s="47"/>
      <c r="L77" s="47" t="s">
        <v>228</v>
      </c>
      <c r="M77" s="47"/>
      <c r="N77" s="47"/>
      <c r="O77" s="47"/>
      <c r="P77" s="47"/>
      <c r="Q77" s="47"/>
      <c r="R77" s="38"/>
      <c r="S77" s="38">
        <v>5</v>
      </c>
      <c r="T77" s="41">
        <v>0.05</v>
      </c>
      <c r="U77" s="41"/>
      <c r="V77" s="41"/>
      <c r="W77" s="47"/>
      <c r="X77" s="47"/>
      <c r="Y77" s="27"/>
      <c r="Z77" s="27"/>
      <c r="AA77" s="27"/>
      <c r="AB77" s="47"/>
      <c r="AC77" s="47"/>
      <c r="AD77" s="47"/>
      <c r="AE77" s="45"/>
      <c r="AF77" s="45"/>
      <c r="AG77" s="45"/>
      <c r="AH77" s="45"/>
      <c r="AI77" s="45"/>
      <c r="AJ77" s="45"/>
      <c r="AK77" s="47" t="s">
        <v>450</v>
      </c>
      <c r="AL77" s="53"/>
      <c r="AM77" s="53" t="s">
        <v>68</v>
      </c>
      <c r="AN77" s="53"/>
      <c r="AO77" s="53"/>
      <c r="AP77" s="53"/>
      <c r="AQ77" s="47">
        <v>3</v>
      </c>
      <c r="AR77" s="56" t="s">
        <v>49</v>
      </c>
      <c r="AS77" t="e">
        <f>COUNTIF([1]Sheet1!$R:$U,C77)</f>
        <v>#VALUE!</v>
      </c>
    </row>
    <row r="78" spans="1:45" x14ac:dyDescent="0.2">
      <c r="A78" s="11">
        <v>209002</v>
      </c>
      <c r="B78" s="14" t="s">
        <v>377</v>
      </c>
      <c r="C78" s="11" t="s">
        <v>289</v>
      </c>
      <c r="D78" s="5" t="s">
        <v>568</v>
      </c>
      <c r="E78" s="5" t="s">
        <v>507</v>
      </c>
      <c r="F78" s="11"/>
      <c r="G78" s="5">
        <v>1</v>
      </c>
      <c r="H78" s="5"/>
      <c r="I78" s="5"/>
      <c r="J78" s="5"/>
      <c r="K78" s="5"/>
      <c r="L78" s="5" t="s">
        <v>228</v>
      </c>
      <c r="M78" s="5"/>
      <c r="N78" s="5">
        <v>15</v>
      </c>
      <c r="O78" s="5"/>
      <c r="P78" s="5"/>
      <c r="Q78" s="5"/>
      <c r="R78" s="36"/>
      <c r="S78" s="36"/>
      <c r="T78" s="40">
        <v>7.4999999999999997E-2</v>
      </c>
      <c r="U78" s="40"/>
      <c r="V78" s="40"/>
      <c r="W78" s="5"/>
      <c r="X78" s="5"/>
      <c r="Y78" s="8"/>
      <c r="Z78" s="8"/>
      <c r="AA78" s="8"/>
      <c r="AB78" s="5"/>
      <c r="AC78" s="5"/>
      <c r="AD78" s="5"/>
      <c r="AE78" s="44"/>
      <c r="AF78" s="44"/>
      <c r="AG78" s="44"/>
      <c r="AH78" s="44"/>
      <c r="AI78" s="44"/>
      <c r="AJ78" s="44"/>
      <c r="AK78" s="5" t="s">
        <v>583</v>
      </c>
      <c r="AL78" s="52"/>
      <c r="AM78" s="52"/>
      <c r="AN78" s="52"/>
      <c r="AO78" s="52" t="s">
        <v>106</v>
      </c>
      <c r="AP78" s="52"/>
      <c r="AQ78" s="5">
        <v>4</v>
      </c>
      <c r="AR78" s="55" t="s">
        <v>108</v>
      </c>
      <c r="AS78" t="e">
        <f>COUNTIF([1]Sheet1!$R:$U,C78)</f>
        <v>#VALUE!</v>
      </c>
    </row>
    <row r="79" spans="1:45" x14ac:dyDescent="0.2">
      <c r="A79" s="11">
        <v>209003</v>
      </c>
      <c r="B79" s="14" t="s">
        <v>566</v>
      </c>
      <c r="C79" s="11" t="s">
        <v>567</v>
      </c>
      <c r="D79" s="5" t="s">
        <v>569</v>
      </c>
      <c r="E79" s="5" t="s">
        <v>599</v>
      </c>
      <c r="F79" s="11"/>
      <c r="G79" s="5">
        <v>1</v>
      </c>
      <c r="H79" s="5"/>
      <c r="I79" s="5"/>
      <c r="J79" s="5"/>
      <c r="K79" s="5"/>
      <c r="L79" s="5" t="s">
        <v>103</v>
      </c>
      <c r="M79" s="5"/>
      <c r="N79" s="5"/>
      <c r="O79" s="5"/>
      <c r="P79" s="5"/>
      <c r="Q79" s="5"/>
      <c r="R79" s="36"/>
      <c r="S79" s="36"/>
      <c r="T79" s="40">
        <v>0.12</v>
      </c>
      <c r="U79" s="40"/>
      <c r="V79" s="40"/>
      <c r="W79" s="5"/>
      <c r="X79" s="5"/>
      <c r="Y79" s="8"/>
      <c r="Z79" s="8"/>
      <c r="AA79" s="8"/>
      <c r="AB79" s="5">
        <v>300001</v>
      </c>
      <c r="AC79" s="5"/>
      <c r="AD79" s="5">
        <v>999</v>
      </c>
      <c r="AE79" s="44"/>
      <c r="AF79" s="44"/>
      <c r="AG79" s="44"/>
      <c r="AH79" s="44"/>
      <c r="AI79" s="44"/>
      <c r="AJ79" s="44"/>
      <c r="AK79" s="5" t="s">
        <v>565</v>
      </c>
      <c r="AL79" s="52"/>
      <c r="AM79" s="52"/>
      <c r="AN79" s="52"/>
      <c r="AO79" s="52"/>
      <c r="AP79" s="52"/>
      <c r="AQ79" s="5">
        <v>3</v>
      </c>
      <c r="AR79" s="55" t="s">
        <v>564</v>
      </c>
      <c r="AS79" t="e">
        <f>COUNTIF([1]Sheet1!$R:$U,C79)</f>
        <v>#VALUE!</v>
      </c>
    </row>
    <row r="80" spans="1:45" x14ac:dyDescent="0.2">
      <c r="A80" s="11">
        <v>209004</v>
      </c>
      <c r="B80" s="11" t="s">
        <v>326</v>
      </c>
      <c r="C80" s="11" t="s">
        <v>325</v>
      </c>
      <c r="D80" s="5"/>
      <c r="E80" s="5" t="s">
        <v>393</v>
      </c>
      <c r="F80" s="11"/>
      <c r="G80" s="5">
        <v>1</v>
      </c>
      <c r="H80" s="5"/>
      <c r="I80" s="5"/>
      <c r="J80" s="5"/>
      <c r="K80" s="5"/>
      <c r="L80" s="5" t="s">
        <v>228</v>
      </c>
      <c r="M80" s="5"/>
      <c r="N80" s="5"/>
      <c r="O80" s="5"/>
      <c r="P80" s="5"/>
      <c r="Q80" s="5"/>
      <c r="R80" s="36"/>
      <c r="S80" s="36"/>
      <c r="T80" s="40">
        <v>0.7</v>
      </c>
      <c r="U80" s="40"/>
      <c r="V80" s="40"/>
      <c r="W80" s="5"/>
      <c r="X80" s="5"/>
      <c r="Y80" s="8">
        <v>2</v>
      </c>
      <c r="Z80" s="8"/>
      <c r="AA80" s="8"/>
      <c r="AB80" s="5"/>
      <c r="AC80" s="5"/>
      <c r="AD80" s="5"/>
      <c r="AE80" s="44"/>
      <c r="AF80" s="44"/>
      <c r="AG80" s="44"/>
      <c r="AH80" s="44"/>
      <c r="AI80" s="44"/>
      <c r="AJ80" s="44"/>
      <c r="AK80" s="5" t="s">
        <v>572</v>
      </c>
      <c r="AL80" s="52"/>
      <c r="AM80" s="52"/>
      <c r="AN80" s="52"/>
      <c r="AO80" s="52" t="s">
        <v>69</v>
      </c>
      <c r="AP80" s="52"/>
      <c r="AQ80" s="5">
        <v>2</v>
      </c>
      <c r="AR80" s="55" t="s">
        <v>327</v>
      </c>
      <c r="AS80" t="e">
        <f>COUNTIF([1]Sheet1!$R:$U,C80)</f>
        <v>#VALUE!</v>
      </c>
    </row>
    <row r="81" spans="1:45" x14ac:dyDescent="0.2">
      <c r="A81" s="11">
        <v>209005</v>
      </c>
      <c r="B81" s="14" t="s">
        <v>227</v>
      </c>
      <c r="C81" s="11" t="s">
        <v>275</v>
      </c>
      <c r="D81" s="5"/>
      <c r="E81" s="5" t="s">
        <v>155</v>
      </c>
      <c r="F81" s="11"/>
      <c r="G81" s="5">
        <v>1</v>
      </c>
      <c r="H81" s="5">
        <v>0.3</v>
      </c>
      <c r="I81" s="5"/>
      <c r="J81" s="5"/>
      <c r="K81" s="5"/>
      <c r="L81" s="5" t="s">
        <v>228</v>
      </c>
      <c r="M81" s="5"/>
      <c r="N81" s="5"/>
      <c r="O81" s="5"/>
      <c r="P81" s="5"/>
      <c r="Q81" s="5"/>
      <c r="R81" s="36"/>
      <c r="S81" s="36">
        <v>5</v>
      </c>
      <c r="T81" s="40"/>
      <c r="U81" s="40"/>
      <c r="V81" s="40"/>
      <c r="W81" s="5"/>
      <c r="X81" s="5"/>
      <c r="Y81" s="8"/>
      <c r="Z81" s="8"/>
      <c r="AA81" s="8"/>
      <c r="AB81" s="5"/>
      <c r="AC81" s="5"/>
      <c r="AD81" s="5"/>
      <c r="AE81" s="44"/>
      <c r="AF81" s="44"/>
      <c r="AG81" s="44"/>
      <c r="AH81" s="44"/>
      <c r="AI81" s="44"/>
      <c r="AJ81" s="44"/>
      <c r="AK81" s="5" t="s">
        <v>573</v>
      </c>
      <c r="AL81" s="52"/>
      <c r="AM81" s="52" t="s">
        <v>68</v>
      </c>
      <c r="AN81" s="52"/>
      <c r="AO81" s="52"/>
      <c r="AP81" s="52"/>
      <c r="AQ81" s="5">
        <v>3</v>
      </c>
      <c r="AR81" s="55" t="s">
        <v>156</v>
      </c>
      <c r="AS81" t="e">
        <f>COUNTIF([1]Sheet1!$R:$U,C81)</f>
        <v>#VALUE!</v>
      </c>
    </row>
    <row r="82" spans="1:45" x14ac:dyDescent="0.2">
      <c r="A82" s="11">
        <v>209006</v>
      </c>
      <c r="B82" s="17" t="s">
        <v>570</v>
      </c>
      <c r="C82" s="11" t="s">
        <v>571</v>
      </c>
      <c r="D82" s="5"/>
      <c r="E82" s="5" t="s">
        <v>576</v>
      </c>
      <c r="F82" s="11"/>
      <c r="G82" s="5">
        <v>1</v>
      </c>
      <c r="H82" s="5"/>
      <c r="I82" s="5"/>
      <c r="J82" s="5"/>
      <c r="K82" s="5"/>
      <c r="L82" s="5" t="s">
        <v>228</v>
      </c>
      <c r="M82" s="5"/>
      <c r="N82" s="5"/>
      <c r="O82" s="5"/>
      <c r="P82" s="5"/>
      <c r="Q82" s="5"/>
      <c r="R82" s="36"/>
      <c r="S82" s="36">
        <v>5</v>
      </c>
      <c r="T82" s="40"/>
      <c r="U82" s="40"/>
      <c r="V82" s="40"/>
      <c r="W82" s="5"/>
      <c r="X82" s="5"/>
      <c r="Y82" s="8"/>
      <c r="Z82" s="8"/>
      <c r="AA82" s="8"/>
      <c r="AB82" s="5"/>
      <c r="AC82" s="5"/>
      <c r="AD82" s="5"/>
      <c r="AE82" s="44"/>
      <c r="AF82" s="44"/>
      <c r="AG82" s="44"/>
      <c r="AH82" s="44"/>
      <c r="AI82" s="44"/>
      <c r="AJ82" s="44"/>
      <c r="AK82" s="5" t="s">
        <v>574</v>
      </c>
      <c r="AL82" s="52"/>
      <c r="AM82" s="52" t="s">
        <v>68</v>
      </c>
      <c r="AN82" s="52"/>
      <c r="AO82" s="52"/>
      <c r="AP82" s="52"/>
      <c r="AQ82" s="5">
        <v>2</v>
      </c>
      <c r="AR82" s="55" t="s">
        <v>575</v>
      </c>
      <c r="AS82" t="e">
        <f>COUNTIF([1]Sheet1!$R:$U,C82)</f>
        <v>#VALUE!</v>
      </c>
    </row>
    <row r="83" spans="1:45" x14ac:dyDescent="0.2">
      <c r="A83" s="11">
        <v>209007</v>
      </c>
      <c r="B83" s="11" t="s">
        <v>311</v>
      </c>
      <c r="C83" s="11" t="s">
        <v>316</v>
      </c>
      <c r="D83" s="5"/>
      <c r="E83" s="47" t="s">
        <v>585</v>
      </c>
      <c r="F83" s="11"/>
      <c r="G83" s="5">
        <v>1</v>
      </c>
      <c r="H83" s="5"/>
      <c r="I83" s="5"/>
      <c r="J83" s="5"/>
      <c r="K83" s="5"/>
      <c r="L83" s="5" t="s">
        <v>228</v>
      </c>
      <c r="M83" s="5"/>
      <c r="N83" s="5"/>
      <c r="O83" s="5"/>
      <c r="P83" s="5"/>
      <c r="Q83" s="5"/>
      <c r="R83" s="36"/>
      <c r="S83" s="36">
        <v>10</v>
      </c>
      <c r="T83" s="40">
        <v>0.1</v>
      </c>
      <c r="U83" s="40"/>
      <c r="V83" s="40"/>
      <c r="W83" s="5"/>
      <c r="X83" s="5"/>
      <c r="Y83" s="8"/>
      <c r="Z83" s="8"/>
      <c r="AA83" s="8"/>
      <c r="AB83" s="5"/>
      <c r="AC83" s="5"/>
      <c r="AD83" s="5"/>
      <c r="AE83" s="44"/>
      <c r="AF83" s="44"/>
      <c r="AG83" s="44"/>
      <c r="AH83" s="44"/>
      <c r="AI83" s="44"/>
      <c r="AJ83" s="44"/>
      <c r="AK83" s="5" t="s">
        <v>451</v>
      </c>
      <c r="AL83" s="52"/>
      <c r="AM83" s="52" t="s">
        <v>68</v>
      </c>
      <c r="AN83" s="52"/>
      <c r="AO83" s="52"/>
      <c r="AP83" s="52"/>
      <c r="AQ83" s="5">
        <v>2</v>
      </c>
      <c r="AR83" s="55" t="s">
        <v>312</v>
      </c>
      <c r="AS83" t="e">
        <f>COUNTIF([1]Sheet1!$R:$U,C83)</f>
        <v>#VALUE!</v>
      </c>
    </row>
    <row r="84" spans="1:45" x14ac:dyDescent="0.2">
      <c r="A84" s="11">
        <v>209008</v>
      </c>
      <c r="B84" s="11" t="s">
        <v>332</v>
      </c>
      <c r="C84" s="11" t="s">
        <v>333</v>
      </c>
      <c r="D84" s="5"/>
      <c r="E84" s="5" t="s">
        <v>392</v>
      </c>
      <c r="F84" s="11"/>
      <c r="G84" s="5">
        <v>1</v>
      </c>
      <c r="H84" s="5"/>
      <c r="I84" s="5"/>
      <c r="J84" s="5"/>
      <c r="K84" s="5"/>
      <c r="L84" s="5" t="s">
        <v>328</v>
      </c>
      <c r="M84" s="5"/>
      <c r="N84" s="5"/>
      <c r="O84" s="5"/>
      <c r="P84" s="5"/>
      <c r="Q84" s="5"/>
      <c r="R84" s="36"/>
      <c r="S84" s="36"/>
      <c r="T84" s="40">
        <v>0.7</v>
      </c>
      <c r="U84" s="40"/>
      <c r="V84" s="40"/>
      <c r="W84" s="5"/>
      <c r="X84" s="5"/>
      <c r="Y84" s="8">
        <v>2</v>
      </c>
      <c r="Z84" s="8"/>
      <c r="AA84" s="8"/>
      <c r="AB84" s="5"/>
      <c r="AC84" s="5"/>
      <c r="AD84" s="5"/>
      <c r="AE84" s="44"/>
      <c r="AF84" s="44"/>
      <c r="AG84" s="44"/>
      <c r="AH84" s="44"/>
      <c r="AI84" s="44"/>
      <c r="AJ84" s="44"/>
      <c r="AK84" s="5" t="s">
        <v>524</v>
      </c>
      <c r="AL84" s="52"/>
      <c r="AM84" s="52"/>
      <c r="AN84" s="52"/>
      <c r="AO84" s="52" t="s">
        <v>329</v>
      </c>
      <c r="AP84" s="52"/>
      <c r="AQ84" s="5">
        <v>2</v>
      </c>
      <c r="AR84" s="55" t="s">
        <v>331</v>
      </c>
      <c r="AS84" t="e">
        <f>COUNTIF([1]Sheet1!$R:$U,C84)</f>
        <v>#VALUE!</v>
      </c>
    </row>
  </sheetData>
  <autoFilter ref="A4:AR84">
    <sortState ref="A5:AG49">
      <sortCondition ref="A4:A49"/>
    </sortState>
  </autoFilter>
  <sortState ref="A5:Q43">
    <sortCondition ref="A41"/>
  </sortState>
  <phoneticPr fontId="2" type="noConversion"/>
  <conditionalFormatting sqref="F70">
    <cfRule type="cellIs" dxfId="162" priority="250" operator="equal">
      <formula>"智力技能up+$A$1:$AE$48"</formula>
    </cfRule>
  </conditionalFormatting>
  <conditionalFormatting sqref="F59 F85:F1048576 F61:F62 F70 F49 F25 F27 F68 F77:F78 F32:F33 F29:F30 F1:F20 F80:F81 F45:F47 F66 F36:F42">
    <cfRule type="cellIs" dxfId="161" priority="246" operator="equal">
      <formula>"术"</formula>
    </cfRule>
    <cfRule type="cellIs" dxfId="160" priority="247" operator="equal">
      <formula>"技"</formula>
    </cfRule>
    <cfRule type="cellIs" dxfId="159" priority="248" operator="equal">
      <formula>"攻击up"</formula>
    </cfRule>
    <cfRule type="cellIs" dxfId="158" priority="249" operator="equal">
      <formula>"职业"</formula>
    </cfRule>
    <cfRule type="cellIs" dxfId="157" priority="251" operator="equal">
      <formula>"智技up"</formula>
    </cfRule>
  </conditionalFormatting>
  <conditionalFormatting sqref="F24">
    <cfRule type="cellIs" dxfId="156" priority="236" operator="equal">
      <formula>"术"</formula>
    </cfRule>
    <cfRule type="cellIs" dxfId="155" priority="237" operator="equal">
      <formula>"技"</formula>
    </cfRule>
    <cfRule type="cellIs" dxfId="154" priority="238" operator="equal">
      <formula>"攻击up"</formula>
    </cfRule>
    <cfRule type="cellIs" dxfId="153" priority="239" operator="equal">
      <formula>"职业"</formula>
    </cfRule>
    <cfRule type="cellIs" dxfId="152" priority="240" operator="equal">
      <formula>"智技up"</formula>
    </cfRule>
  </conditionalFormatting>
  <conditionalFormatting sqref="F61">
    <cfRule type="cellIs" dxfId="151" priority="235" operator="equal">
      <formula>"智力技能up+$A$1:$AE$48"</formula>
    </cfRule>
  </conditionalFormatting>
  <conditionalFormatting sqref="F71">
    <cfRule type="cellIs" dxfId="150" priority="233" operator="equal">
      <formula>"智力技能up+$A$1:$AE$48"</formula>
    </cfRule>
  </conditionalFormatting>
  <conditionalFormatting sqref="F71">
    <cfRule type="cellIs" dxfId="149" priority="229" operator="equal">
      <formula>"术"</formula>
    </cfRule>
    <cfRule type="cellIs" dxfId="148" priority="230" operator="equal">
      <formula>"技"</formula>
    </cfRule>
    <cfRule type="cellIs" dxfId="147" priority="231" operator="equal">
      <formula>"攻击up"</formula>
    </cfRule>
    <cfRule type="cellIs" dxfId="146" priority="232" operator="equal">
      <formula>"职业"</formula>
    </cfRule>
    <cfRule type="cellIs" dxfId="145" priority="234" operator="equal">
      <formula>"智技up"</formula>
    </cfRule>
  </conditionalFormatting>
  <conditionalFormatting sqref="F83">
    <cfRule type="cellIs" dxfId="144" priority="219" operator="equal">
      <formula>"术"</formula>
    </cfRule>
    <cfRule type="cellIs" dxfId="143" priority="220" operator="equal">
      <formula>"技"</formula>
    </cfRule>
    <cfRule type="cellIs" dxfId="142" priority="221" operator="equal">
      <formula>"攻击up"</formula>
    </cfRule>
    <cfRule type="cellIs" dxfId="141" priority="222" operator="equal">
      <formula>"职业"</formula>
    </cfRule>
    <cfRule type="cellIs" dxfId="140" priority="223" operator="equal">
      <formula>"智技up"</formula>
    </cfRule>
  </conditionalFormatting>
  <conditionalFormatting sqref="F23">
    <cfRule type="cellIs" dxfId="139" priority="209" operator="equal">
      <formula>"术"</formula>
    </cfRule>
    <cfRule type="cellIs" dxfId="138" priority="210" operator="equal">
      <formula>"技"</formula>
    </cfRule>
    <cfRule type="cellIs" dxfId="137" priority="211" operator="equal">
      <formula>"攻击up"</formula>
    </cfRule>
    <cfRule type="cellIs" dxfId="136" priority="212" operator="equal">
      <formula>"职业"</formula>
    </cfRule>
    <cfRule type="cellIs" dxfId="135" priority="213" operator="equal">
      <formula>"智技up"</formula>
    </cfRule>
  </conditionalFormatting>
  <conditionalFormatting sqref="F84">
    <cfRule type="cellIs" dxfId="134" priority="204" operator="equal">
      <formula>"术"</formula>
    </cfRule>
    <cfRule type="cellIs" dxfId="133" priority="205" operator="equal">
      <formula>"技"</formula>
    </cfRule>
    <cfRule type="cellIs" dxfId="132" priority="206" operator="equal">
      <formula>"攻击up"</formula>
    </cfRule>
    <cfRule type="cellIs" dxfId="131" priority="207" operator="equal">
      <formula>"职业"</formula>
    </cfRule>
    <cfRule type="cellIs" dxfId="130" priority="208" operator="equal">
      <formula>"智技up"</formula>
    </cfRule>
  </conditionalFormatting>
  <conditionalFormatting sqref="F69">
    <cfRule type="cellIs" dxfId="129" priority="199" operator="equal">
      <formula>"术"</formula>
    </cfRule>
    <cfRule type="cellIs" dxfId="128" priority="200" operator="equal">
      <formula>"技"</formula>
    </cfRule>
    <cfRule type="cellIs" dxfId="127" priority="201" operator="equal">
      <formula>"攻击up"</formula>
    </cfRule>
    <cfRule type="cellIs" dxfId="126" priority="202" operator="equal">
      <formula>"职业"</formula>
    </cfRule>
    <cfRule type="cellIs" dxfId="125" priority="203" operator="equal">
      <formula>"智技up"</formula>
    </cfRule>
  </conditionalFormatting>
  <conditionalFormatting sqref="F72">
    <cfRule type="cellIs" dxfId="124" priority="197" operator="equal">
      <formula>"智力技能up+$A$1:$AE$48"</formula>
    </cfRule>
  </conditionalFormatting>
  <conditionalFormatting sqref="F72">
    <cfRule type="cellIs" dxfId="123" priority="193" operator="equal">
      <formula>"术"</formula>
    </cfRule>
    <cfRule type="cellIs" dxfId="122" priority="194" operator="equal">
      <formula>"技"</formula>
    </cfRule>
    <cfRule type="cellIs" dxfId="121" priority="195" operator="equal">
      <formula>"攻击up"</formula>
    </cfRule>
    <cfRule type="cellIs" dxfId="120" priority="196" operator="equal">
      <formula>"职业"</formula>
    </cfRule>
    <cfRule type="cellIs" dxfId="119" priority="198" operator="equal">
      <formula>"智技up"</formula>
    </cfRule>
  </conditionalFormatting>
  <conditionalFormatting sqref="F48">
    <cfRule type="cellIs" dxfId="118" priority="183" operator="equal">
      <formula>"术"</formula>
    </cfRule>
    <cfRule type="cellIs" dxfId="117" priority="184" operator="equal">
      <formula>"技"</formula>
    </cfRule>
    <cfRule type="cellIs" dxfId="116" priority="185" operator="equal">
      <formula>"攻击up"</formula>
    </cfRule>
    <cfRule type="cellIs" dxfId="115" priority="186" operator="equal">
      <formula>"职业"</formula>
    </cfRule>
    <cfRule type="cellIs" dxfId="114" priority="187" operator="equal">
      <formula>"智技up"</formula>
    </cfRule>
  </conditionalFormatting>
  <conditionalFormatting sqref="F22">
    <cfRule type="cellIs" dxfId="113" priority="178" operator="equal">
      <formula>"术"</formula>
    </cfRule>
    <cfRule type="cellIs" dxfId="112" priority="179" operator="equal">
      <formula>"技"</formula>
    </cfRule>
    <cfRule type="cellIs" dxfId="111" priority="180" operator="equal">
      <formula>"攻击up"</formula>
    </cfRule>
    <cfRule type="cellIs" dxfId="110" priority="181" operator="equal">
      <formula>"职业"</formula>
    </cfRule>
    <cfRule type="cellIs" dxfId="109" priority="182" operator="equal">
      <formula>"智技up"</formula>
    </cfRule>
  </conditionalFormatting>
  <conditionalFormatting sqref="F21">
    <cfRule type="cellIs" dxfId="108" priority="173" operator="equal">
      <formula>"术"</formula>
    </cfRule>
    <cfRule type="cellIs" dxfId="107" priority="174" operator="equal">
      <formula>"技"</formula>
    </cfRule>
    <cfRule type="cellIs" dxfId="106" priority="175" operator="equal">
      <formula>"攻击up"</formula>
    </cfRule>
    <cfRule type="cellIs" dxfId="105" priority="176" operator="equal">
      <formula>"职业"</formula>
    </cfRule>
    <cfRule type="cellIs" dxfId="104" priority="177" operator="equal">
      <formula>"智技up"</formula>
    </cfRule>
  </conditionalFormatting>
  <conditionalFormatting sqref="F26">
    <cfRule type="cellIs" dxfId="103" priority="168" operator="equal">
      <formula>"术"</formula>
    </cfRule>
    <cfRule type="cellIs" dxfId="102" priority="169" operator="equal">
      <formula>"技"</formula>
    </cfRule>
    <cfRule type="cellIs" dxfId="101" priority="170" operator="equal">
      <formula>"攻击up"</formula>
    </cfRule>
    <cfRule type="cellIs" dxfId="100" priority="171" operator="equal">
      <formula>"职业"</formula>
    </cfRule>
    <cfRule type="cellIs" dxfId="99" priority="172" operator="equal">
      <formula>"智技up"</formula>
    </cfRule>
  </conditionalFormatting>
  <conditionalFormatting sqref="F50:F53">
    <cfRule type="cellIs" dxfId="98" priority="148" operator="equal">
      <formula>"术"</formula>
    </cfRule>
    <cfRule type="cellIs" dxfId="97" priority="149" operator="equal">
      <formula>"技"</formula>
    </cfRule>
    <cfRule type="cellIs" dxfId="96" priority="150" operator="equal">
      <formula>"攻击up"</formula>
    </cfRule>
    <cfRule type="cellIs" dxfId="95" priority="151" operator="equal">
      <formula>"职业"</formula>
    </cfRule>
    <cfRule type="cellIs" dxfId="94" priority="152" operator="equal">
      <formula>"智技up"</formula>
    </cfRule>
  </conditionalFormatting>
  <conditionalFormatting sqref="F54:F56">
    <cfRule type="cellIs" dxfId="93" priority="143" operator="equal">
      <formula>"术"</formula>
    </cfRule>
    <cfRule type="cellIs" dxfId="92" priority="144" operator="equal">
      <formula>"技"</formula>
    </cfRule>
    <cfRule type="cellIs" dxfId="91" priority="145" operator="equal">
      <formula>"攻击up"</formula>
    </cfRule>
    <cfRule type="cellIs" dxfId="90" priority="146" operator="equal">
      <formula>"职业"</formula>
    </cfRule>
    <cfRule type="cellIs" dxfId="89" priority="147" operator="equal">
      <formula>"智技up"</formula>
    </cfRule>
  </conditionalFormatting>
  <conditionalFormatting sqref="F67">
    <cfRule type="cellIs" dxfId="88" priority="138" operator="equal">
      <formula>"术"</formula>
    </cfRule>
    <cfRule type="cellIs" dxfId="87" priority="139" operator="equal">
      <formula>"技"</formula>
    </cfRule>
    <cfRule type="cellIs" dxfId="86" priority="140" operator="equal">
      <formula>"攻击up"</formula>
    </cfRule>
    <cfRule type="cellIs" dxfId="85" priority="141" operator="equal">
      <formula>"职业"</formula>
    </cfRule>
    <cfRule type="cellIs" dxfId="84" priority="142" operator="equal">
      <formula>"智技up"</formula>
    </cfRule>
  </conditionalFormatting>
  <conditionalFormatting sqref="F73">
    <cfRule type="cellIs" dxfId="83" priority="136" operator="equal">
      <formula>"智力技能up+$A$1:$AE$48"</formula>
    </cfRule>
  </conditionalFormatting>
  <conditionalFormatting sqref="F73">
    <cfRule type="cellIs" dxfId="82" priority="132" operator="equal">
      <formula>"术"</formula>
    </cfRule>
    <cfRule type="cellIs" dxfId="81" priority="133" operator="equal">
      <formula>"技"</formula>
    </cfRule>
    <cfRule type="cellIs" dxfId="80" priority="134" operator="equal">
      <formula>"攻击up"</formula>
    </cfRule>
    <cfRule type="cellIs" dxfId="79" priority="135" operator="equal">
      <formula>"职业"</formula>
    </cfRule>
    <cfRule type="cellIs" dxfId="78" priority="137" operator="equal">
      <formula>"智技up"</formula>
    </cfRule>
  </conditionalFormatting>
  <conditionalFormatting sqref="F74">
    <cfRule type="cellIs" dxfId="77" priority="130" operator="equal">
      <formula>"智力技能up+$A$1:$AE$48"</formula>
    </cfRule>
  </conditionalFormatting>
  <conditionalFormatting sqref="F74">
    <cfRule type="cellIs" dxfId="76" priority="126" operator="equal">
      <formula>"术"</formula>
    </cfRule>
    <cfRule type="cellIs" dxfId="75" priority="127" operator="equal">
      <formula>"技"</formula>
    </cfRule>
    <cfRule type="cellIs" dxfId="74" priority="128" operator="equal">
      <formula>"攻击up"</formula>
    </cfRule>
    <cfRule type="cellIs" dxfId="73" priority="129" operator="equal">
      <formula>"职业"</formula>
    </cfRule>
    <cfRule type="cellIs" dxfId="72" priority="131" operator="equal">
      <formula>"智技up"</formula>
    </cfRule>
  </conditionalFormatting>
  <conditionalFormatting sqref="F76">
    <cfRule type="cellIs" dxfId="71" priority="101" operator="equal">
      <formula>"智力技能up+$A$1:$AE$48"</formula>
    </cfRule>
  </conditionalFormatting>
  <conditionalFormatting sqref="F76">
    <cfRule type="cellIs" dxfId="70" priority="97" operator="equal">
      <formula>"术"</formula>
    </cfRule>
    <cfRule type="cellIs" dxfId="69" priority="98" operator="equal">
      <formula>"技"</formula>
    </cfRule>
    <cfRule type="cellIs" dxfId="68" priority="99" operator="equal">
      <formula>"攻击up"</formula>
    </cfRule>
    <cfRule type="cellIs" dxfId="67" priority="100" operator="equal">
      <formula>"职业"</formula>
    </cfRule>
    <cfRule type="cellIs" dxfId="66" priority="102" operator="equal">
      <formula>"智技up"</formula>
    </cfRule>
  </conditionalFormatting>
  <conditionalFormatting sqref="F57:F58">
    <cfRule type="cellIs" dxfId="65" priority="87" operator="equal">
      <formula>"术"</formula>
    </cfRule>
    <cfRule type="cellIs" dxfId="64" priority="88" operator="equal">
      <formula>"技"</formula>
    </cfRule>
    <cfRule type="cellIs" dxfId="63" priority="89" operator="equal">
      <formula>"攻击up"</formula>
    </cfRule>
    <cfRule type="cellIs" dxfId="62" priority="90" operator="equal">
      <formula>"职业"</formula>
    </cfRule>
    <cfRule type="cellIs" dxfId="61" priority="91" operator="equal">
      <formula>"智技up"</formula>
    </cfRule>
  </conditionalFormatting>
  <conditionalFormatting sqref="F28">
    <cfRule type="cellIs" dxfId="60" priority="77" operator="equal">
      <formula>"术"</formula>
    </cfRule>
    <cfRule type="cellIs" dxfId="59" priority="78" operator="equal">
      <formula>"技"</formula>
    </cfRule>
    <cfRule type="cellIs" dxfId="58" priority="79" operator="equal">
      <formula>"攻击up"</formula>
    </cfRule>
    <cfRule type="cellIs" dxfId="57" priority="80" operator="equal">
      <formula>"职业"</formula>
    </cfRule>
    <cfRule type="cellIs" dxfId="56" priority="81" operator="equal">
      <formula>"智技up"</formula>
    </cfRule>
  </conditionalFormatting>
  <conditionalFormatting sqref="F35">
    <cfRule type="cellIs" dxfId="55" priority="67" operator="equal">
      <formula>"术"</formula>
    </cfRule>
    <cfRule type="cellIs" dxfId="54" priority="68" operator="equal">
      <formula>"技"</formula>
    </cfRule>
    <cfRule type="cellIs" dxfId="53" priority="69" operator="equal">
      <formula>"攻击up"</formula>
    </cfRule>
    <cfRule type="cellIs" dxfId="52" priority="70" operator="equal">
      <formula>"职业"</formula>
    </cfRule>
    <cfRule type="cellIs" dxfId="51" priority="71" operator="equal">
      <formula>"智技up"</formula>
    </cfRule>
  </conditionalFormatting>
  <conditionalFormatting sqref="F79">
    <cfRule type="cellIs" dxfId="50" priority="57" operator="equal">
      <formula>"术"</formula>
    </cfRule>
    <cfRule type="cellIs" dxfId="49" priority="58" operator="equal">
      <formula>"技"</formula>
    </cfRule>
    <cfRule type="cellIs" dxfId="48" priority="59" operator="equal">
      <formula>"攻击up"</formula>
    </cfRule>
    <cfRule type="cellIs" dxfId="47" priority="60" operator="equal">
      <formula>"职业"</formula>
    </cfRule>
    <cfRule type="cellIs" dxfId="46" priority="61" operator="equal">
      <formula>"智技up"</formula>
    </cfRule>
  </conditionalFormatting>
  <conditionalFormatting sqref="F82">
    <cfRule type="cellIs" dxfId="45" priority="52" operator="equal">
      <formula>"术"</formula>
    </cfRule>
    <cfRule type="cellIs" dxfId="44" priority="53" operator="equal">
      <formula>"技"</formula>
    </cfRule>
    <cfRule type="cellIs" dxfId="43" priority="54" operator="equal">
      <formula>"攻击up"</formula>
    </cfRule>
    <cfRule type="cellIs" dxfId="42" priority="55" operator="equal">
      <formula>"职业"</formula>
    </cfRule>
    <cfRule type="cellIs" dxfId="41" priority="56" operator="equal">
      <formula>"智技up"</formula>
    </cfRule>
  </conditionalFormatting>
  <conditionalFormatting sqref="F44">
    <cfRule type="cellIs" dxfId="40" priority="42" operator="equal">
      <formula>"术"</formula>
    </cfRule>
    <cfRule type="cellIs" dxfId="39" priority="43" operator="equal">
      <formula>"技"</formula>
    </cfRule>
    <cfRule type="cellIs" dxfId="38" priority="44" operator="equal">
      <formula>"攻击up"</formula>
    </cfRule>
    <cfRule type="cellIs" dxfId="37" priority="45" operator="equal">
      <formula>"职业"</formula>
    </cfRule>
    <cfRule type="cellIs" dxfId="36" priority="46" operator="equal">
      <formula>"智技up"</formula>
    </cfRule>
  </conditionalFormatting>
  <conditionalFormatting sqref="F63">
    <cfRule type="cellIs" dxfId="35" priority="37" operator="equal">
      <formula>"术"</formula>
    </cfRule>
    <cfRule type="cellIs" dxfId="34" priority="38" operator="equal">
      <formula>"技"</formula>
    </cfRule>
    <cfRule type="cellIs" dxfId="33" priority="39" operator="equal">
      <formula>"攻击up"</formula>
    </cfRule>
    <cfRule type="cellIs" dxfId="32" priority="40" operator="equal">
      <formula>"职业"</formula>
    </cfRule>
    <cfRule type="cellIs" dxfId="31" priority="41" operator="equal">
      <formula>"智技up"</formula>
    </cfRule>
  </conditionalFormatting>
  <conditionalFormatting sqref="F34">
    <cfRule type="cellIs" dxfId="30" priority="32" operator="equal">
      <formula>"术"</formula>
    </cfRule>
    <cfRule type="cellIs" dxfId="29" priority="33" operator="equal">
      <formula>"技"</formula>
    </cfRule>
    <cfRule type="cellIs" dxfId="28" priority="34" operator="equal">
      <formula>"攻击up"</formula>
    </cfRule>
    <cfRule type="cellIs" dxfId="27" priority="35" operator="equal">
      <formula>"职业"</formula>
    </cfRule>
    <cfRule type="cellIs" dxfId="26" priority="36" operator="equal">
      <formula>"智技up"</formula>
    </cfRule>
  </conditionalFormatting>
  <conditionalFormatting sqref="F31">
    <cfRule type="cellIs" dxfId="25" priority="27" operator="equal">
      <formula>"术"</formula>
    </cfRule>
    <cfRule type="cellIs" dxfId="24" priority="28" operator="equal">
      <formula>"技"</formula>
    </cfRule>
    <cfRule type="cellIs" dxfId="23" priority="29" operator="equal">
      <formula>"攻击up"</formula>
    </cfRule>
    <cfRule type="cellIs" dxfId="22" priority="30" operator="equal">
      <formula>"职业"</formula>
    </cfRule>
    <cfRule type="cellIs" dxfId="21" priority="31" operator="equal">
      <formula>"智技up"</formula>
    </cfRule>
  </conditionalFormatting>
  <conditionalFormatting sqref="F43">
    <cfRule type="cellIs" dxfId="20" priority="22" operator="equal">
      <formula>"术"</formula>
    </cfRule>
    <cfRule type="cellIs" dxfId="19" priority="23" operator="equal">
      <formula>"技"</formula>
    </cfRule>
    <cfRule type="cellIs" dxfId="18" priority="24" operator="equal">
      <formula>"攻击up"</formula>
    </cfRule>
    <cfRule type="cellIs" dxfId="17" priority="25" operator="equal">
      <formula>"职业"</formula>
    </cfRule>
    <cfRule type="cellIs" dxfId="16" priority="26" operator="equal">
      <formula>"智技up"</formula>
    </cfRule>
  </conditionalFormatting>
  <conditionalFormatting sqref="F75">
    <cfRule type="cellIs" dxfId="15" priority="15" operator="equal">
      <formula>"智力技能up+$A$1:$AE$48"</formula>
    </cfRule>
  </conditionalFormatting>
  <conditionalFormatting sqref="F75">
    <cfRule type="cellIs" dxfId="14" priority="11" operator="equal">
      <formula>"术"</formula>
    </cfRule>
    <cfRule type="cellIs" dxfId="13" priority="12" operator="equal">
      <formula>"技"</formula>
    </cfRule>
    <cfRule type="cellIs" dxfId="12" priority="13" operator="equal">
      <formula>"攻击up"</formula>
    </cfRule>
    <cfRule type="cellIs" dxfId="11" priority="14" operator="equal">
      <formula>"职业"</formula>
    </cfRule>
    <cfRule type="cellIs" dxfId="10" priority="16" operator="equal">
      <formula>"智技up"</formula>
    </cfRule>
  </conditionalFormatting>
  <conditionalFormatting sqref="F64">
    <cfRule type="cellIs" dxfId="9" priority="6" operator="equal">
      <formula>"术"</formula>
    </cfRule>
    <cfRule type="cellIs" dxfId="8" priority="7" operator="equal">
      <formula>"技"</formula>
    </cfRule>
    <cfRule type="cellIs" dxfId="7" priority="8" operator="equal">
      <formula>"攻击up"</formula>
    </cfRule>
    <cfRule type="cellIs" dxfId="6" priority="9" operator="equal">
      <formula>"职业"</formula>
    </cfRule>
    <cfRule type="cellIs" dxfId="5" priority="10" operator="equal">
      <formula>"智技up"</formula>
    </cfRule>
  </conditionalFormatting>
  <conditionalFormatting sqref="F65">
    <cfRule type="cellIs" dxfId="4" priority="1" operator="equal">
      <formula>"术"</formula>
    </cfRule>
    <cfRule type="cellIs" dxfId="3" priority="2" operator="equal">
      <formula>"技"</formula>
    </cfRule>
    <cfRule type="cellIs" dxfId="2" priority="3" operator="equal">
      <formula>"攻击up"</formula>
    </cfRule>
    <cfRule type="cellIs" dxfId="1" priority="4" operator="equal">
      <formula>"职业"</formula>
    </cfRule>
    <cfRule type="cellIs" dxfId="0" priority="5" operator="equal">
      <formula>"智技up"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2026-02-22T15:05:36Z</dcterms:modified>
</cp:coreProperties>
</file>