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Sheet1!$A$4:$Z$173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1" l="1"/>
  <c r="AA17" i="1"/>
  <c r="J17" i="1"/>
  <c r="Q17" i="1" s="1"/>
  <c r="AA13" i="1"/>
  <c r="AA12" i="1"/>
  <c r="AA11" i="1"/>
  <c r="J13" i="1"/>
  <c r="D13" i="1"/>
  <c r="J12" i="1"/>
  <c r="D12" i="1"/>
  <c r="J11" i="1"/>
  <c r="D11" i="1"/>
  <c r="AA15" i="1" l="1"/>
  <c r="AA16" i="1"/>
  <c r="AA6" i="1"/>
  <c r="AA7" i="1"/>
  <c r="AA8" i="1"/>
  <c r="AA9" i="1"/>
  <c r="AA10" i="1"/>
  <c r="AA14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5" i="1"/>
  <c r="J6" i="1" l="1"/>
  <c r="J7" i="1"/>
  <c r="J8" i="1"/>
  <c r="J9" i="1"/>
  <c r="J10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" i="1"/>
  <c r="J165" i="1"/>
  <c r="J166" i="1"/>
  <c r="J14" i="1"/>
  <c r="J15" i="1"/>
  <c r="J167" i="1"/>
  <c r="J168" i="1"/>
  <c r="J169" i="1"/>
  <c r="J170" i="1"/>
  <c r="J171" i="1"/>
  <c r="J172" i="1"/>
  <c r="J173" i="1"/>
  <c r="J5" i="1"/>
  <c r="Q49" i="1" l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Q57" i="1" l="1"/>
  <c r="D57" i="1"/>
  <c r="Q99" i="1"/>
  <c r="D99" i="1"/>
  <c r="Q173" i="1" l="1"/>
  <c r="D173" i="1"/>
  <c r="Q98" i="1" l="1"/>
  <c r="D98" i="1"/>
  <c r="Q172" i="1"/>
  <c r="D172" i="1"/>
  <c r="Q156" i="1" l="1"/>
  <c r="D156" i="1"/>
  <c r="Q171" i="1"/>
  <c r="D171" i="1"/>
  <c r="Q97" i="1"/>
  <c r="D97" i="1"/>
  <c r="Q56" i="1"/>
  <c r="D56" i="1"/>
  <c r="Q96" i="1"/>
  <c r="D96" i="1"/>
  <c r="Q147" i="1" l="1"/>
  <c r="D147" i="1"/>
  <c r="Q164" i="1" l="1"/>
  <c r="D164" i="1"/>
  <c r="Q163" i="1"/>
  <c r="D163" i="1"/>
  <c r="Q162" i="1"/>
  <c r="D162" i="1"/>
  <c r="Q161" i="1"/>
  <c r="D161" i="1"/>
  <c r="Q160" i="1"/>
  <c r="D160" i="1"/>
  <c r="Q159" i="1"/>
  <c r="D159" i="1"/>
  <c r="Q170" i="1"/>
  <c r="D170" i="1"/>
  <c r="Q169" i="1"/>
  <c r="D169" i="1"/>
  <c r="Q168" i="1"/>
  <c r="D168" i="1"/>
  <c r="Q146" i="1"/>
  <c r="D146" i="1"/>
  <c r="D145" i="1"/>
  <c r="Q145" i="1"/>
  <c r="Q95" i="1"/>
  <c r="D95" i="1"/>
  <c r="Q94" i="1"/>
  <c r="D94" i="1"/>
  <c r="Q93" i="1"/>
  <c r="D93" i="1"/>
  <c r="D92" i="1"/>
  <c r="D91" i="1"/>
  <c r="Q92" i="1"/>
  <c r="Q91" i="1"/>
  <c r="D9" i="1"/>
  <c r="Q155" i="1"/>
  <c r="D155" i="1"/>
  <c r="D154" i="1"/>
  <c r="Q154" i="1"/>
  <c r="Q15" i="1" l="1"/>
  <c r="D15" i="1"/>
  <c r="Q14" i="1"/>
  <c r="D14" i="1"/>
  <c r="D10" i="1"/>
  <c r="Q144" i="1"/>
  <c r="D144" i="1"/>
  <c r="D5" i="1" l="1"/>
  <c r="D53" i="1"/>
  <c r="D54" i="1"/>
  <c r="D55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40" i="1"/>
  <c r="D73" i="1"/>
  <c r="D74" i="1"/>
  <c r="D75" i="1"/>
  <c r="D148" i="1"/>
  <c r="D149" i="1"/>
  <c r="D76" i="1"/>
  <c r="D150" i="1"/>
  <c r="D77" i="1"/>
  <c r="D78" i="1"/>
  <c r="D79" i="1"/>
  <c r="D80" i="1"/>
  <c r="D152" i="1"/>
  <c r="D81" i="1"/>
  <c r="D82" i="1"/>
  <c r="D83" i="1"/>
  <c r="D84" i="1"/>
  <c r="D85" i="1"/>
  <c r="D86" i="1"/>
  <c r="D87" i="1"/>
  <c r="D88" i="1"/>
  <c r="D89" i="1"/>
  <c r="D151" i="1"/>
  <c r="D153" i="1"/>
  <c r="D90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24" i="1"/>
  <c r="D8" i="1"/>
  <c r="D138" i="1"/>
  <c r="D157" i="1"/>
  <c r="D158" i="1"/>
  <c r="D139" i="1"/>
  <c r="D16" i="1"/>
  <c r="D141" i="1"/>
  <c r="D165" i="1"/>
  <c r="D166" i="1"/>
  <c r="D142" i="1"/>
  <c r="D143" i="1"/>
  <c r="D167" i="1"/>
  <c r="D6" i="1"/>
  <c r="D7" i="1"/>
  <c r="D18" i="1"/>
  <c r="D19" i="1"/>
  <c r="D20" i="1"/>
  <c r="D21" i="1"/>
  <c r="D22" i="1"/>
  <c r="D23" i="1"/>
  <c r="D48" i="1"/>
  <c r="D49" i="1"/>
  <c r="D50" i="1"/>
  <c r="D51" i="1"/>
  <c r="D52" i="1"/>
  <c r="Q124" i="1"/>
  <c r="Q137" i="1"/>
  <c r="Q167" i="1"/>
  <c r="Q143" i="1"/>
  <c r="Q136" i="1"/>
  <c r="Q90" i="1"/>
  <c r="Q135" i="1"/>
  <c r="Q134" i="1"/>
  <c r="Q142" i="1"/>
  <c r="Q133" i="1"/>
  <c r="Q55" i="1"/>
  <c r="Q54" i="1"/>
  <c r="Q53" i="1"/>
  <c r="Q153" i="1"/>
  <c r="Q132" i="1"/>
  <c r="Q131" i="1"/>
  <c r="Q129" i="1"/>
  <c r="Q128" i="1"/>
  <c r="Q151" i="1"/>
  <c r="Q130" i="1"/>
  <c r="Q138" i="1" l="1"/>
  <c r="Q157" i="1"/>
  <c r="Q158" i="1"/>
  <c r="Q139" i="1"/>
  <c r="Q113" i="1"/>
  <c r="Q101" i="1"/>
  <c r="Q16" i="1"/>
  <c r="Q100" i="1"/>
  <c r="Q103" i="1"/>
  <c r="Q102" i="1"/>
  <c r="Q104" i="1"/>
  <c r="Q105" i="1"/>
  <c r="Q106" i="1"/>
  <c r="Q107" i="1"/>
  <c r="Q141" i="1"/>
  <c r="Q50" i="1"/>
  <c r="Q108" i="1"/>
  <c r="Q51" i="1"/>
  <c r="Q109" i="1"/>
  <c r="Q110" i="1"/>
  <c r="Q111" i="1"/>
  <c r="Q112" i="1"/>
  <c r="Q114" i="1"/>
  <c r="Q52" i="1"/>
  <c r="Q115" i="1"/>
  <c r="Q116" i="1"/>
  <c r="Q149" i="1"/>
  <c r="Q150" i="1"/>
  <c r="Q117" i="1"/>
  <c r="Q118" i="1"/>
  <c r="Q119" i="1"/>
  <c r="Q120" i="1"/>
  <c r="Q89" i="1"/>
  <c r="Q121" i="1"/>
  <c r="Q166" i="1"/>
  <c r="Q122" i="1"/>
  <c r="Q123" i="1"/>
  <c r="Q125" i="1"/>
  <c r="Q126" i="1"/>
  <c r="Q127" i="1"/>
  <c r="Q76" i="1" l="1"/>
  <c r="Q77" i="1"/>
  <c r="Q78" i="1"/>
  <c r="Q79" i="1"/>
  <c r="Q80" i="1"/>
  <c r="Q165" i="1"/>
  <c r="Q152" i="1"/>
  <c r="Q81" i="1"/>
  <c r="Q82" i="1"/>
  <c r="Q83" i="1"/>
  <c r="Q84" i="1"/>
  <c r="Q85" i="1"/>
  <c r="Q86" i="1"/>
  <c r="Q60" i="1"/>
  <c r="Q67" i="1"/>
  <c r="Q87" i="1"/>
  <c r="Q88" i="1"/>
  <c r="Q75" i="1"/>
  <c r="Q21" i="1"/>
  <c r="Q23" i="1"/>
  <c r="Q140" i="1"/>
  <c r="Q58" i="1"/>
  <c r="Q148" i="1" l="1"/>
  <c r="Q59" i="1" l="1"/>
  <c r="Q18" i="1"/>
  <c r="Q19" i="1"/>
  <c r="Q61" i="1"/>
  <c r="Q68" i="1"/>
  <c r="Q63" i="1"/>
  <c r="Q65" i="1"/>
  <c r="Q66" i="1"/>
  <c r="Q69" i="1"/>
  <c r="Q71" i="1"/>
  <c r="Q20" i="1"/>
  <c r="Q22" i="1"/>
  <c r="Q70" i="1"/>
  <c r="Q62" i="1"/>
  <c r="Q64" i="1"/>
  <c r="Q72" i="1"/>
  <c r="Q74" i="1"/>
  <c r="Q73" i="1"/>
</calcChain>
</file>

<file path=xl/sharedStrings.xml><?xml version="1.0" encoding="utf-8"?>
<sst xmlns="http://schemas.openxmlformats.org/spreadsheetml/2006/main" count="1115" uniqueCount="587">
  <si>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</si>
  <si>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</si>
  <si>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</si>
  <si>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</si>
  <si>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</si>
  <si>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</si>
  <si>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</si>
  <si>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</si>
  <si>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</si>
  <si>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</si>
  <si>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</si>
  <si>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</si>
  <si>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等级</t>
    <phoneticPr fontId="2" type="noConversion"/>
  </si>
  <si>
    <t>Lv</t>
    <phoneticPr fontId="2" type="noConversion"/>
  </si>
  <si>
    <t>int</t>
    <phoneticPr fontId="2" type="noConversion"/>
  </si>
  <si>
    <t>cs</t>
    <phoneticPr fontId="2" type="noConversion"/>
  </si>
  <si>
    <t>Atk</t>
    <phoneticPr fontId="3" type="noConversion"/>
  </si>
  <si>
    <t>攻击力</t>
    <phoneticPr fontId="3" type="noConversion"/>
  </si>
  <si>
    <t>生命</t>
    <phoneticPr fontId="3" type="noConversion"/>
  </si>
  <si>
    <t>Hp</t>
    <phoneticPr fontId="2" type="noConversion"/>
  </si>
  <si>
    <t>阵营</t>
    <phoneticPr fontId="3" type="noConversion"/>
  </si>
  <si>
    <t>Side</t>
    <phoneticPr fontId="2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</si>
  <si>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</si>
  <si>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</si>
  <si>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</si>
  <si>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</si>
  <si>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</si>
  <si>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</si>
  <si>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</si>
  <si>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</si>
  <si>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</si>
  <si>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</si>
  <si>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</si>
  <si>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</si>
  <si>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</si>
  <si>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黄忠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</si>
  <si>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</si>
  <si>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</si>
  <si>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</si>
  <si>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</si>
  <si>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</si>
  <si>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</si>
  <si>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</si>
  <si>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</si>
  <si>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</si>
  <si>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</si>
  <si>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</si>
  <si>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</si>
  <si>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</si>
  <si>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</si>
  <si>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</si>
  <si>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</si>
  <si>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</si>
  <si>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</si>
  <si>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</si>
  <si>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</si>
  <si>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</si>
  <si>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</si>
  <si>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</si>
  <si>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</si>
  <si>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</si>
  <si>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</si>
  <si>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</si>
  <si>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</si>
  <si>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</si>
  <si>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</si>
  <si>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</si>
  <si>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</si>
  <si>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</si>
  <si>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</si>
  <si>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</si>
  <si>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</si>
  <si>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</si>
  <si>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</si>
  <si>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</si>
  <si>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</si>
  <si>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</si>
  <si>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</si>
  <si>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</si>
  <si>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</si>
  <si>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</si>
  <si>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</si>
  <si>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</si>
  <si>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</si>
  <si>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</si>
  <si>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</si>
  <si>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</si>
  <si>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</si>
  <si>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</si>
  <si>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</si>
  <si>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</si>
  <si>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</si>
  <si>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</si>
  <si>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</si>
  <si>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</si>
  <si>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</si>
  <si>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</si>
  <si>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</si>
  <si>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</si>
  <si>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</si>
  <si>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</si>
  <si>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郭攸之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</si>
  <si>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</si>
  <si>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</si>
  <si>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</si>
  <si>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</si>
  <si>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</si>
  <si>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</si>
  <si>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</si>
  <si>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</si>
  <si>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</si>
  <si>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</si>
  <si>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</si>
  <si>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</si>
  <si>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</si>
  <si>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</si>
  <si>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</si>
  <si>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法正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</si>
  <si>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</si>
  <si>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</si>
  <si>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</si>
  <si>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</si>
  <si>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</si>
  <si>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</si>
  <si>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</si>
  <si>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</si>
  <si>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</si>
  <si>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</si>
  <si>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</si>
  <si>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</si>
  <si>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</si>
  <si>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</si>
  <si>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</si>
  <si>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</si>
  <si>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</si>
  <si>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</si>
  <si>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</si>
  <si>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</si>
  <si>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</si>
  <si>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</si>
  <si>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</si>
  <si>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</si>
  <si>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</si>
  <si>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</si>
  <si>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</si>
  <si>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</si>
  <si>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</si>
  <si>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</si>
  <si>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</si>
  <si>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</si>
  <si>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</si>
  <si>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</si>
  <si>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</si>
  <si>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</si>
  <si>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</si>
  <si>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</si>
  <si>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</si>
  <si>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</si>
  <si>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</si>
  <si>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</si>
  <si>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</si>
  <si>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</si>
  <si>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</si>
  <si>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</si>
  <si>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</si>
  <si>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</si>
  <si>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</si>
  <si>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</si>
  <si>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</si>
  <si>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</si>
  <si>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</si>
  <si>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</si>
  <si>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</si>
  <si>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</si>
  <si>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</si>
  <si>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</si>
  <si>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</si>
  <si>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</si>
  <si>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</si>
  <si>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</si>
  <si>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</si>
  <si>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</si>
  <si>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</si>
  <si>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</si>
  <si>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</si>
  <si>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</si>
  <si>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</si>
  <si>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</si>
  <si>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</si>
  <si>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</si>
  <si>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</si>
  <si>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</si>
  <si>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</si>
  <si>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</si>
  <si>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</si>
  <si>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</si>
  <si>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</si>
  <si>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</si>
  <si>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</si>
  <si>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</si>
  <si>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</si>
  <si>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</si>
  <si>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</si>
  <si>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</si>
  <si>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</si>
  <si>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</si>
  <si>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</si>
  <si>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</si>
  <si>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</si>
  <si>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</si>
  <si>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</si>
  <si>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</si>
  <si>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</si>
  <si>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</si>
  <si>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</si>
  <si>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</si>
  <si>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</si>
  <si>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</si>
  <si>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</si>
  <si>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</si>
  <si>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</si>
  <si>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</si>
  <si>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</si>
  <si>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</si>
  <si>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</si>
  <si>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</si>
  <si>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李傕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</si>
  <si>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</si>
  <si>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</si>
  <si>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</si>
  <si>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</si>
  <si>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</si>
  <si>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</si>
  <si>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</si>
  <si>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</si>
  <si>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</si>
  <si>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</si>
  <si>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</si>
  <si>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</si>
  <si>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</si>
  <si>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</si>
  <si>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</si>
  <si>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</si>
  <si>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</si>
  <si>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</si>
  <si>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</si>
  <si>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</si>
  <si>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魏延</t>
    <phoneticPr fontId="2" type="noConversion"/>
  </si>
  <si>
    <t>文聘</t>
    <phoneticPr fontId="2" type="noConversion"/>
  </si>
  <si>
    <t>吕蒙</t>
    <phoneticPr fontId="2" type="noConversion"/>
  </si>
  <si>
    <t>朱治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</si>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</sst>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</cellXfs>
  <cellStyles count="1">
    <cellStyle name="常规" xfId="0" builtinId="0"/>
  </cellStyles>
  <dxfs count="57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Q1" t="str">
            <v>太守</v>
          </cell>
          <cell r="R1" t="str">
            <v>成员</v>
          </cell>
        </row>
        <row r="2">
          <cell r="Q2" t="str">
            <v>Leader</v>
          </cell>
          <cell r="R2" t="str">
            <v>Members</v>
          </cell>
        </row>
        <row r="3">
          <cell r="Q3" t="str">
            <v>int</v>
          </cell>
          <cell r="R3" t="str">
            <v>int[]</v>
          </cell>
        </row>
        <row r="4">
          <cell r="Q4" t="str">
            <v>cs</v>
          </cell>
          <cell r="R4" t="str">
            <v>cs</v>
          </cell>
        </row>
        <row r="5">
          <cell r="Q5" t="str">
            <v>101015</v>
          </cell>
          <cell r="R5" t="str">
            <v>101009,101022,101002,101019</v>
          </cell>
        </row>
        <row r="6">
          <cell r="Q6" t="str">
            <v>101007</v>
          </cell>
          <cell r="R6" t="str">
            <v>101027,101040</v>
          </cell>
        </row>
        <row r="7">
          <cell r="Q7" t="str">
            <v>101014</v>
          </cell>
          <cell r="R7" t="str">
            <v>101030,101024</v>
          </cell>
        </row>
        <row r="8">
          <cell r="Q8" t="str">
            <v>101005</v>
          </cell>
          <cell r="R8" t="str">
            <v>101006,101032,101037,101012,101013</v>
          </cell>
        </row>
        <row r="9">
          <cell r="Q9" t="str">
            <v>101018</v>
          </cell>
          <cell r="R9" t="str">
            <v>101036</v>
          </cell>
        </row>
        <row r="10">
          <cell r="Q10" t="str">
            <v>101016</v>
          </cell>
          <cell r="R10" t="str">
            <v>101029</v>
          </cell>
        </row>
        <row r="11">
          <cell r="Q11" t="str">
            <v>100001</v>
          </cell>
          <cell r="R11" t="str">
            <v>101028,101031,101034,101004,101023,101025</v>
          </cell>
        </row>
        <row r="12">
          <cell r="Q12" t="str">
            <v>101039</v>
          </cell>
          <cell r="R12" t="str">
            <v>101035,101021</v>
          </cell>
        </row>
        <row r="13">
          <cell r="Q13" t="str">
            <v>101033</v>
          </cell>
          <cell r="R13" t="str">
            <v>101020,101008</v>
          </cell>
        </row>
        <row r="14">
          <cell r="Q14" t="str">
            <v>101001</v>
          </cell>
          <cell r="R14" t="str">
            <v>101010,101026,101038,101017</v>
          </cell>
        </row>
        <row r="15">
          <cell r="Q15" t="str">
            <v>102012</v>
          </cell>
          <cell r="R15" t="str">
            <v>102028,102024</v>
          </cell>
        </row>
        <row r="16">
          <cell r="Q16" t="str">
            <v>102015</v>
          </cell>
          <cell r="R16" t="str">
            <v>102022,102032</v>
          </cell>
        </row>
        <row r="17">
          <cell r="Q17" t="str">
            <v>102016</v>
          </cell>
          <cell r="R17" t="str">
            <v>102038,102025,102026</v>
          </cell>
        </row>
        <row r="18">
          <cell r="Q18" t="str">
            <v>102006</v>
          </cell>
          <cell r="R18" t="str">
            <v>102031,102034</v>
          </cell>
        </row>
        <row r="19">
          <cell r="Q19" t="str">
            <v>102008</v>
          </cell>
          <cell r="R19" t="str">
            <v>102010,102023,102042</v>
          </cell>
        </row>
        <row r="20">
          <cell r="Q20" t="str">
            <v>102035</v>
          </cell>
          <cell r="R20" t="str">
            <v>102036,102018,102019</v>
          </cell>
        </row>
        <row r="21">
          <cell r="Q21" t="str">
            <v>100002</v>
          </cell>
          <cell r="R21" t="str">
            <v>102001,102003,102029,102037,102041</v>
          </cell>
        </row>
        <row r="22">
          <cell r="Q22" t="str">
            <v>102002</v>
          </cell>
          <cell r="R22" t="str">
            <v>102014,102040,102039</v>
          </cell>
        </row>
        <row r="23">
          <cell r="Q23" t="str">
            <v>102009</v>
          </cell>
          <cell r="R23" t="str">
            <v>102027,102030</v>
          </cell>
        </row>
        <row r="24">
          <cell r="Q24" t="str">
            <v>102011</v>
          </cell>
          <cell r="R24" t="str">
            <v>102013,102033</v>
          </cell>
        </row>
        <row r="25">
          <cell r="Q25" t="str">
            <v>102004</v>
          </cell>
          <cell r="R25" t="str">
            <v>102005,102020</v>
          </cell>
        </row>
        <row r="26">
          <cell r="Q26" t="str">
            <v>102007</v>
          </cell>
          <cell r="R26" t="str">
            <v>102017,102021</v>
          </cell>
        </row>
        <row r="27">
          <cell r="Q27" t="str">
            <v>103024</v>
          </cell>
          <cell r="R27" t="str">
            <v>103019,103038,103037</v>
          </cell>
        </row>
        <row r="28">
          <cell r="Q28" t="str">
            <v>103003</v>
          </cell>
          <cell r="R28" t="str">
            <v>103009,103034,103036</v>
          </cell>
        </row>
        <row r="29">
          <cell r="Q29" t="str">
            <v>103026</v>
          </cell>
          <cell r="R29" t="str">
            <v>103027,103033,103001,103002</v>
          </cell>
        </row>
        <row r="30">
          <cell r="Q30" t="str">
            <v>103004</v>
          </cell>
          <cell r="R30" t="str">
            <v>103018,103032,103023,103030,103031</v>
          </cell>
        </row>
        <row r="31">
          <cell r="Q31" t="str">
            <v>103012</v>
          </cell>
          <cell r="R31" t="str">
            <v>103025,103013,103016,103017</v>
          </cell>
        </row>
        <row r="32">
          <cell r="Q32" t="str">
            <v>100003</v>
          </cell>
          <cell r="R32" t="str">
            <v>103008,103010,103011,103014,103028</v>
          </cell>
        </row>
        <row r="33">
          <cell r="Q33" t="str">
            <v>103007</v>
          </cell>
          <cell r="R33" t="str">
            <v>103006,103021,103035</v>
          </cell>
        </row>
        <row r="34">
          <cell r="Q34" t="str">
            <v>103005</v>
          </cell>
          <cell r="R34" t="str">
            <v>103020,103022,103029,103015</v>
          </cell>
        </row>
        <row r="35">
          <cell r="Q35" t="str">
            <v>106001</v>
          </cell>
          <cell r="R35" t="str">
            <v>106002</v>
          </cell>
        </row>
        <row r="36">
          <cell r="Q36" t="str">
            <v>106003</v>
          </cell>
        </row>
        <row r="37">
          <cell r="Q37" t="str">
            <v>100006</v>
          </cell>
          <cell r="R37" t="str">
            <v>106004</v>
          </cell>
        </row>
        <row r="38">
          <cell r="Q38" t="str">
            <v>106006</v>
          </cell>
        </row>
        <row r="39">
          <cell r="Q39" t="str">
            <v>106005</v>
          </cell>
        </row>
        <row r="40">
          <cell r="Q40" t="str">
            <v>106008</v>
          </cell>
        </row>
        <row r="41">
          <cell r="Q41" t="str">
            <v>106007</v>
          </cell>
        </row>
        <row r="42">
          <cell r="Q42" t="str">
            <v>100004</v>
          </cell>
          <cell r="R42" t="str">
            <v>104002,104007,104008</v>
          </cell>
        </row>
        <row r="43">
          <cell r="Q43" t="str">
            <v>104001</v>
          </cell>
          <cell r="R43" t="str">
            <v>104003,104004</v>
          </cell>
        </row>
        <row r="44">
          <cell r="Q44" t="str">
            <v>104010</v>
          </cell>
          <cell r="R44" t="str">
            <v>104006,104005,104009</v>
          </cell>
        </row>
        <row r="45">
          <cell r="Q45" t="str">
            <v>100011</v>
          </cell>
          <cell r="R45" t="str">
            <v>110010</v>
          </cell>
        </row>
        <row r="46">
          <cell r="Q46" t="str">
            <v>101003</v>
          </cell>
          <cell r="R46" t="str">
            <v>101011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3"/>
  <sheetViews>
    <sheetView tabSelected="1" workbookViewId="0">
      <selection activeCell="Z17" sqref="Z17"/>
    </sheetView>
  </sheetViews>
  <sheetFormatPr defaultRowHeight="14.25" x14ac:dyDescent="0.2"/>
  <cols>
    <col min="1" max="1" width="9.5" bestFit="1" customWidth="1"/>
    <col min="2" max="3" width="9.5" customWidth="1"/>
    <col min="4" max="11" width="8.75" customWidth="1"/>
    <col min="19" max="19" width="7.125" customWidth="1"/>
    <col min="20" max="20" width="6.625" customWidth="1"/>
    <col min="21" max="21" width="7.125" customWidth="1"/>
    <col min="22" max="23" width="4.5" customWidth="1"/>
    <col min="25" max="25" width="24" customWidth="1"/>
  </cols>
  <sheetData>
    <row r="1" spans="1:27" ht="57" customHeight="1" x14ac:dyDescent="0.2">
      <c r="A1" s="1" t="s">
        <v>0</v>
      </c>
      <c r="B1" s="9" t="s">
        <v>24</v>
      </c>
      <c r="C1" s="9" t="s">
        <v>12</v>
      </c>
      <c r="D1" s="6" t="s">
        <v>17</v>
      </c>
      <c r="E1" s="6" t="s">
        <v>46</v>
      </c>
      <c r="F1" s="6" t="s">
        <v>50</v>
      </c>
      <c r="G1" s="6" t="s">
        <v>52</v>
      </c>
      <c r="H1" s="6" t="s">
        <v>412</v>
      </c>
      <c r="I1" s="6" t="s">
        <v>413</v>
      </c>
      <c r="J1" s="6" t="s">
        <v>54</v>
      </c>
      <c r="K1" s="6" t="s">
        <v>18</v>
      </c>
      <c r="L1" s="6" t="s">
        <v>20</v>
      </c>
      <c r="M1" s="6" t="s">
        <v>22</v>
      </c>
      <c r="N1" s="6" t="s">
        <v>23</v>
      </c>
      <c r="O1" s="6" t="s">
        <v>180</v>
      </c>
      <c r="P1" s="6" t="s">
        <v>185</v>
      </c>
      <c r="Q1" s="6" t="s">
        <v>102</v>
      </c>
      <c r="R1" s="6" t="s">
        <v>138</v>
      </c>
      <c r="S1" s="6" t="s">
        <v>161</v>
      </c>
      <c r="T1" s="6" t="s">
        <v>70</v>
      </c>
      <c r="U1" s="6" t="s">
        <v>140</v>
      </c>
      <c r="V1" s="6" t="s">
        <v>140</v>
      </c>
      <c r="W1" s="6" t="s">
        <v>293</v>
      </c>
      <c r="X1" s="6" t="s">
        <v>190</v>
      </c>
      <c r="Y1" s="6" t="s">
        <v>74</v>
      </c>
      <c r="Z1" s="2" t="s">
        <v>4</v>
      </c>
    </row>
    <row r="2" spans="1:27" x14ac:dyDescent="0.2">
      <c r="A2" s="3" t="s">
        <v>1</v>
      </c>
      <c r="B2" s="3" t="s">
        <v>8</v>
      </c>
      <c r="C2" s="3" t="s">
        <v>13</v>
      </c>
      <c r="D2" s="7" t="s">
        <v>16</v>
      </c>
      <c r="E2" s="7" t="s">
        <v>47</v>
      </c>
      <c r="F2" s="7" t="s">
        <v>139</v>
      </c>
      <c r="G2" s="7" t="s">
        <v>53</v>
      </c>
      <c r="H2" s="7" t="s">
        <v>411</v>
      </c>
      <c r="I2" s="7" t="s">
        <v>414</v>
      </c>
      <c r="J2" s="7" t="s">
        <v>55</v>
      </c>
      <c r="K2" s="7" t="s">
        <v>19</v>
      </c>
      <c r="L2" s="8" t="s">
        <v>21</v>
      </c>
      <c r="M2" s="7" t="s">
        <v>263</v>
      </c>
      <c r="N2" s="7" t="s">
        <v>264</v>
      </c>
      <c r="O2" s="7" t="s">
        <v>181</v>
      </c>
      <c r="P2" s="7" t="s">
        <v>186</v>
      </c>
      <c r="Q2" s="7" t="s">
        <v>137</v>
      </c>
      <c r="R2" s="7" t="s">
        <v>189</v>
      </c>
      <c r="S2" s="7" t="s">
        <v>162</v>
      </c>
      <c r="T2" s="7" t="s">
        <v>71</v>
      </c>
      <c r="U2" s="7" t="s">
        <v>295</v>
      </c>
      <c r="V2" s="7" t="s">
        <v>290</v>
      </c>
      <c r="W2" s="7" t="s">
        <v>292</v>
      </c>
      <c r="X2" s="7" t="s">
        <v>206</v>
      </c>
      <c r="Y2" s="7" t="s">
        <v>75</v>
      </c>
      <c r="Z2" s="4" t="s">
        <v>5</v>
      </c>
    </row>
    <row r="3" spans="1:27" x14ac:dyDescent="0.2">
      <c r="A3" s="3" t="s">
        <v>160</v>
      </c>
      <c r="B3" s="3" t="s">
        <v>9</v>
      </c>
      <c r="C3" s="3" t="s">
        <v>14</v>
      </c>
      <c r="D3" s="7" t="s">
        <v>7</v>
      </c>
      <c r="E3" s="7" t="s">
        <v>48</v>
      </c>
      <c r="F3" s="7" t="s">
        <v>51</v>
      </c>
      <c r="G3" s="7" t="s">
        <v>51</v>
      </c>
      <c r="H3" s="7" t="s">
        <v>14</v>
      </c>
      <c r="I3" s="7" t="s">
        <v>14</v>
      </c>
      <c r="J3" s="7" t="s">
        <v>56</v>
      </c>
      <c r="K3" s="7" t="s">
        <v>7</v>
      </c>
      <c r="L3" s="7" t="s">
        <v>7</v>
      </c>
      <c r="M3" s="7" t="s">
        <v>7</v>
      </c>
      <c r="N3" s="7" t="s">
        <v>7</v>
      </c>
      <c r="O3" s="7" t="s">
        <v>182</v>
      </c>
      <c r="P3" s="7" t="s">
        <v>187</v>
      </c>
      <c r="Q3" s="7" t="s">
        <v>68</v>
      </c>
      <c r="R3" s="7" t="s">
        <v>14</v>
      </c>
      <c r="S3" s="7" t="s">
        <v>163</v>
      </c>
      <c r="T3" s="7" t="s">
        <v>72</v>
      </c>
      <c r="U3" s="7" t="s">
        <v>294</v>
      </c>
      <c r="V3" s="7" t="s">
        <v>291</v>
      </c>
      <c r="W3" s="7" t="s">
        <v>291</v>
      </c>
      <c r="X3" s="7" t="s">
        <v>191</v>
      </c>
      <c r="Y3" s="7" t="s">
        <v>72</v>
      </c>
      <c r="Z3" s="4" t="s">
        <v>2</v>
      </c>
    </row>
    <row r="4" spans="1:27" x14ac:dyDescent="0.2">
      <c r="A4" s="3" t="s">
        <v>3</v>
      </c>
      <c r="B4" s="3" t="s">
        <v>10</v>
      </c>
      <c r="C4" s="3" t="s">
        <v>15</v>
      </c>
      <c r="D4" s="7" t="s">
        <v>6</v>
      </c>
      <c r="E4" s="7" t="s">
        <v>49</v>
      </c>
      <c r="F4" s="7" t="s">
        <v>49</v>
      </c>
      <c r="G4" s="7" t="s">
        <v>49</v>
      </c>
      <c r="H4" s="7" t="s">
        <v>10</v>
      </c>
      <c r="I4" s="7" t="s">
        <v>10</v>
      </c>
      <c r="J4" s="7" t="s">
        <v>57</v>
      </c>
      <c r="K4" s="7" t="s">
        <v>6</v>
      </c>
      <c r="L4" s="7" t="s">
        <v>6</v>
      </c>
      <c r="M4" s="7" t="s">
        <v>6</v>
      </c>
      <c r="N4" s="7" t="s">
        <v>6</v>
      </c>
      <c r="O4" s="7" t="s">
        <v>183</v>
      </c>
      <c r="P4" s="7" t="s">
        <v>188</v>
      </c>
      <c r="Q4" s="7" t="s">
        <v>69</v>
      </c>
      <c r="R4" s="7" t="s">
        <v>10</v>
      </c>
      <c r="S4" s="7" t="s">
        <v>164</v>
      </c>
      <c r="T4" s="7" t="s">
        <v>73</v>
      </c>
      <c r="U4" s="7" t="s">
        <v>73</v>
      </c>
      <c r="V4" s="7" t="s">
        <v>73</v>
      </c>
      <c r="W4" s="7" t="s">
        <v>73</v>
      </c>
      <c r="X4" s="7" t="s">
        <v>192</v>
      </c>
      <c r="Y4" s="7" t="s">
        <v>76</v>
      </c>
      <c r="Z4" s="4" t="s">
        <v>11</v>
      </c>
    </row>
    <row r="5" spans="1:27" x14ac:dyDescent="0.2">
      <c r="A5" s="13">
        <v>100001</v>
      </c>
      <c r="B5" s="13" t="s">
        <v>34</v>
      </c>
      <c r="C5" s="5">
        <v>1</v>
      </c>
      <c r="D5" s="5">
        <f>INT(E5/3)</f>
        <v>26</v>
      </c>
      <c r="E5" s="5">
        <v>80</v>
      </c>
      <c r="F5" s="5">
        <v>78</v>
      </c>
      <c r="G5" s="5">
        <v>77</v>
      </c>
      <c r="H5" s="5">
        <v>82</v>
      </c>
      <c r="I5" s="5">
        <v>99</v>
      </c>
      <c r="J5" s="5">
        <f>SUM(E5:I5)</f>
        <v>416</v>
      </c>
      <c r="K5" s="5">
        <v>330</v>
      </c>
      <c r="L5" s="5">
        <v>1</v>
      </c>
      <c r="M5" s="5">
        <v>10</v>
      </c>
      <c r="N5" s="5">
        <v>17</v>
      </c>
      <c r="O5" s="5"/>
      <c r="P5" s="5"/>
      <c r="Q5" s="5">
        <v>0</v>
      </c>
      <c r="R5" s="5">
        <v>100</v>
      </c>
      <c r="S5" s="5">
        <v>1</v>
      </c>
      <c r="T5" s="5" t="s">
        <v>296</v>
      </c>
      <c r="U5" s="5"/>
      <c r="V5" s="5" t="s">
        <v>386</v>
      </c>
      <c r="W5" s="5"/>
      <c r="X5" s="5" t="s">
        <v>193</v>
      </c>
      <c r="Y5" s="11" t="s">
        <v>78</v>
      </c>
      <c r="Z5" s="5" t="s">
        <v>415</v>
      </c>
      <c r="AA5">
        <f>COUNTIF([1]Sheet1!$Q:$R, "*"&amp; A5&amp;"*")</f>
        <v>1</v>
      </c>
    </row>
    <row r="6" spans="1:27" x14ac:dyDescent="0.2">
      <c r="A6" s="13">
        <v>100002</v>
      </c>
      <c r="B6" s="13" t="s">
        <v>38</v>
      </c>
      <c r="C6" s="5">
        <v>1</v>
      </c>
      <c r="D6" s="5">
        <f>INT(E6/3)</f>
        <v>32</v>
      </c>
      <c r="E6" s="5">
        <v>98</v>
      </c>
      <c r="F6" s="5">
        <v>92</v>
      </c>
      <c r="G6" s="5">
        <v>81</v>
      </c>
      <c r="H6" s="5">
        <v>96</v>
      </c>
      <c r="I6" s="5">
        <v>95</v>
      </c>
      <c r="J6" s="5">
        <f>SUM(E6:I6)</f>
        <v>462</v>
      </c>
      <c r="K6" s="5">
        <v>240</v>
      </c>
      <c r="L6" s="5">
        <v>2</v>
      </c>
      <c r="M6" s="5">
        <v>10</v>
      </c>
      <c r="N6" s="5">
        <v>17</v>
      </c>
      <c r="O6" s="5"/>
      <c r="P6" s="5"/>
      <c r="Q6" s="5">
        <v>0</v>
      </c>
      <c r="R6" s="5">
        <v>100</v>
      </c>
      <c r="S6" s="5">
        <v>1</v>
      </c>
      <c r="T6" s="5" t="s">
        <v>296</v>
      </c>
      <c r="U6" s="5"/>
      <c r="V6" s="5" t="s">
        <v>370</v>
      </c>
      <c r="W6" s="5"/>
      <c r="X6" s="5" t="s">
        <v>193</v>
      </c>
      <c r="Y6" s="11" t="s">
        <v>78</v>
      </c>
      <c r="Z6" s="5" t="s">
        <v>416</v>
      </c>
      <c r="AA6">
        <f>COUNTIF([1]Sheet1!$Q:$R, "*"&amp; A6&amp;"*")</f>
        <v>1</v>
      </c>
    </row>
    <row r="7" spans="1:27" x14ac:dyDescent="0.2">
      <c r="A7" s="13">
        <v>100003</v>
      </c>
      <c r="B7" s="13" t="s">
        <v>110</v>
      </c>
      <c r="C7" s="5">
        <v>1</v>
      </c>
      <c r="D7" s="5">
        <f>INT(E7/3)</f>
        <v>26</v>
      </c>
      <c r="E7" s="5">
        <v>79</v>
      </c>
      <c r="F7" s="5">
        <v>80</v>
      </c>
      <c r="G7" s="5">
        <v>70</v>
      </c>
      <c r="H7" s="5">
        <v>88</v>
      </c>
      <c r="I7" s="5">
        <v>92</v>
      </c>
      <c r="J7" s="5">
        <f>SUM(E7:I7)</f>
        <v>409</v>
      </c>
      <c r="K7" s="5">
        <v>350</v>
      </c>
      <c r="L7" s="5">
        <v>3</v>
      </c>
      <c r="M7" s="5">
        <v>10</v>
      </c>
      <c r="N7" s="5">
        <v>17</v>
      </c>
      <c r="O7" s="5"/>
      <c r="P7" s="5"/>
      <c r="Q7" s="5">
        <v>0</v>
      </c>
      <c r="R7" s="5">
        <v>100</v>
      </c>
      <c r="S7" s="5">
        <v>1</v>
      </c>
      <c r="T7" s="5" t="s">
        <v>296</v>
      </c>
      <c r="U7" s="5"/>
      <c r="V7" s="5" t="s">
        <v>387</v>
      </c>
      <c r="W7" s="5"/>
      <c r="X7" s="5" t="s">
        <v>193</v>
      </c>
      <c r="Y7" s="11" t="s">
        <v>78</v>
      </c>
      <c r="Z7" s="5" t="s">
        <v>417</v>
      </c>
      <c r="AA7">
        <f>COUNTIF([1]Sheet1!$Q:$R, "*"&amp; A7&amp;"*")</f>
        <v>1</v>
      </c>
    </row>
    <row r="8" spans="1:27" x14ac:dyDescent="0.2">
      <c r="A8" s="13">
        <v>100004</v>
      </c>
      <c r="B8" s="13" t="s">
        <v>153</v>
      </c>
      <c r="C8" s="5">
        <v>1</v>
      </c>
      <c r="D8" s="5">
        <f>INT(E8/3)</f>
        <v>28</v>
      </c>
      <c r="E8" s="5">
        <v>85</v>
      </c>
      <c r="F8" s="5">
        <v>75</v>
      </c>
      <c r="G8" s="5">
        <v>87</v>
      </c>
      <c r="H8" s="5">
        <v>68</v>
      </c>
      <c r="I8" s="5">
        <v>35</v>
      </c>
      <c r="J8" s="5">
        <f>SUM(E8:I8)</f>
        <v>350</v>
      </c>
      <c r="K8" s="5">
        <v>330</v>
      </c>
      <c r="L8" s="5">
        <v>4</v>
      </c>
      <c r="M8" s="5">
        <v>10</v>
      </c>
      <c r="N8" s="5">
        <v>17</v>
      </c>
      <c r="O8" s="5"/>
      <c r="P8" s="5"/>
      <c r="Q8" s="5">
        <v>0</v>
      </c>
      <c r="R8" s="5">
        <v>0</v>
      </c>
      <c r="S8" s="5">
        <v>1</v>
      </c>
      <c r="T8" s="5" t="s">
        <v>296</v>
      </c>
      <c r="U8" s="5"/>
      <c r="V8" s="5"/>
      <c r="W8" s="5"/>
      <c r="X8" s="5" t="s">
        <v>193</v>
      </c>
      <c r="Y8" s="10" t="s">
        <v>78</v>
      </c>
      <c r="Z8" s="5" t="s">
        <v>418</v>
      </c>
      <c r="AA8">
        <f>COUNTIF([1]Sheet1!$Q:$R, "*"&amp; A8&amp;"*")</f>
        <v>1</v>
      </c>
    </row>
    <row r="9" spans="1:27" x14ac:dyDescent="0.2">
      <c r="A9" s="13">
        <v>100005</v>
      </c>
      <c r="B9" s="13" t="s">
        <v>208</v>
      </c>
      <c r="C9" s="5">
        <v>1</v>
      </c>
      <c r="D9" s="5">
        <f>INT(E9/3)</f>
        <v>23</v>
      </c>
      <c r="E9" s="5">
        <v>69</v>
      </c>
      <c r="F9" s="5">
        <v>77</v>
      </c>
      <c r="G9" s="5">
        <v>59</v>
      </c>
      <c r="H9" s="5">
        <v>85</v>
      </c>
      <c r="I9" s="5">
        <v>75</v>
      </c>
      <c r="J9" s="5">
        <f>SUM(E9:I9)</f>
        <v>365</v>
      </c>
      <c r="K9" s="5">
        <v>385</v>
      </c>
      <c r="L9" s="5">
        <v>5</v>
      </c>
      <c r="M9" s="5">
        <v>10</v>
      </c>
      <c r="N9" s="5">
        <v>17</v>
      </c>
      <c r="O9" s="5"/>
      <c r="P9" s="5"/>
      <c r="Q9" s="5">
        <v>0</v>
      </c>
      <c r="R9" s="5">
        <v>0</v>
      </c>
      <c r="S9" s="5">
        <v>1</v>
      </c>
      <c r="T9" s="5" t="s">
        <v>296</v>
      </c>
      <c r="U9" s="5"/>
      <c r="V9" s="5"/>
      <c r="W9" s="5"/>
      <c r="X9" s="5" t="s">
        <v>193</v>
      </c>
      <c r="Y9" s="10" t="s">
        <v>78</v>
      </c>
      <c r="Z9" s="5" t="s">
        <v>209</v>
      </c>
      <c r="AA9">
        <f>COUNTIF([1]Sheet1!$Q:$R, "*"&amp; A9&amp;"*")</f>
        <v>0</v>
      </c>
    </row>
    <row r="10" spans="1:27" x14ac:dyDescent="0.2">
      <c r="A10" s="13">
        <v>100006</v>
      </c>
      <c r="B10" s="13" t="s">
        <v>165</v>
      </c>
      <c r="C10" s="5">
        <v>1</v>
      </c>
      <c r="D10" s="5">
        <f>INT(E10/3)</f>
        <v>28</v>
      </c>
      <c r="E10" s="5">
        <v>86</v>
      </c>
      <c r="F10" s="5">
        <v>82</v>
      </c>
      <c r="G10" s="5">
        <v>73</v>
      </c>
      <c r="H10" s="5">
        <v>79</v>
      </c>
      <c r="I10" s="5">
        <v>86</v>
      </c>
      <c r="J10" s="5">
        <f>SUM(E10:I10)</f>
        <v>406</v>
      </c>
      <c r="K10" s="5">
        <v>310</v>
      </c>
      <c r="L10" s="5">
        <v>6</v>
      </c>
      <c r="M10" s="5">
        <v>10</v>
      </c>
      <c r="N10" s="5">
        <v>17</v>
      </c>
      <c r="O10" s="5"/>
      <c r="P10" s="5"/>
      <c r="Q10" s="5">
        <v>0</v>
      </c>
      <c r="R10" s="5">
        <v>0</v>
      </c>
      <c r="S10" s="5">
        <v>1</v>
      </c>
      <c r="T10" s="5" t="s">
        <v>296</v>
      </c>
      <c r="U10" s="5"/>
      <c r="V10" s="5"/>
      <c r="W10" s="5"/>
      <c r="X10" s="5" t="s">
        <v>193</v>
      </c>
      <c r="Y10" s="10" t="s">
        <v>78</v>
      </c>
      <c r="Z10" s="5" t="s">
        <v>419</v>
      </c>
      <c r="AA10">
        <f>COUNTIF([1]Sheet1!$Q:$R, "*"&amp; A10&amp;"*")</f>
        <v>1</v>
      </c>
    </row>
    <row r="11" spans="1:27" x14ac:dyDescent="0.2">
      <c r="A11" s="13">
        <v>100007</v>
      </c>
      <c r="B11" s="13" t="s">
        <v>579</v>
      </c>
      <c r="C11" s="5">
        <v>1</v>
      </c>
      <c r="D11" s="5">
        <f>INT(E11/3)</f>
        <v>10</v>
      </c>
      <c r="E11" s="5">
        <v>31</v>
      </c>
      <c r="F11" s="5">
        <v>72</v>
      </c>
      <c r="G11" s="5">
        <v>31</v>
      </c>
      <c r="H11" s="5">
        <v>81</v>
      </c>
      <c r="I11" s="5">
        <v>69</v>
      </c>
      <c r="J11" s="5">
        <f>SUM(E11:I11)</f>
        <v>284</v>
      </c>
      <c r="K11" s="5">
        <v>310</v>
      </c>
      <c r="L11" s="5">
        <v>6</v>
      </c>
      <c r="M11" s="5">
        <v>10</v>
      </c>
      <c r="N11" s="5">
        <v>17</v>
      </c>
      <c r="O11" s="5"/>
      <c r="P11" s="5"/>
      <c r="Q11" s="5">
        <v>0</v>
      </c>
      <c r="R11" s="5">
        <v>0</v>
      </c>
      <c r="S11" s="5">
        <v>1</v>
      </c>
      <c r="T11" s="5" t="s">
        <v>296</v>
      </c>
      <c r="U11" s="5"/>
      <c r="V11" s="5"/>
      <c r="W11" s="5"/>
      <c r="X11" s="5" t="s">
        <v>193</v>
      </c>
      <c r="Y11" s="10" t="s">
        <v>78</v>
      </c>
      <c r="Z11" s="5" t="s">
        <v>583</v>
      </c>
      <c r="AA11">
        <f>COUNTIF([1]Sheet1!$Q:$R, "*"&amp; A11&amp;"*")</f>
        <v>0</v>
      </c>
    </row>
    <row r="12" spans="1:27" x14ac:dyDescent="0.2">
      <c r="A12" s="13">
        <v>100008</v>
      </c>
      <c r="B12" s="13" t="s">
        <v>580</v>
      </c>
      <c r="C12" s="5">
        <v>1</v>
      </c>
      <c r="D12" s="5">
        <f>INT(E12/3)</f>
        <v>10</v>
      </c>
      <c r="E12" s="5">
        <v>31</v>
      </c>
      <c r="F12" s="5">
        <v>34</v>
      </c>
      <c r="G12" s="5">
        <v>15</v>
      </c>
      <c r="H12" s="5">
        <v>38</v>
      </c>
      <c r="I12" s="5">
        <v>65</v>
      </c>
      <c r="J12" s="5">
        <f>SUM(E12:I12)</f>
        <v>183</v>
      </c>
      <c r="K12" s="5">
        <v>310</v>
      </c>
      <c r="L12" s="5">
        <v>6</v>
      </c>
      <c r="M12" s="5">
        <v>10</v>
      </c>
      <c r="N12" s="5">
        <v>17</v>
      </c>
      <c r="O12" s="5"/>
      <c r="P12" s="5"/>
      <c r="Q12" s="5">
        <v>0</v>
      </c>
      <c r="R12" s="5">
        <v>0</v>
      </c>
      <c r="S12" s="5">
        <v>1</v>
      </c>
      <c r="T12" s="5" t="s">
        <v>296</v>
      </c>
      <c r="U12" s="5"/>
      <c r="V12" s="5"/>
      <c r="W12" s="5"/>
      <c r="X12" s="5" t="s">
        <v>193</v>
      </c>
      <c r="Y12" s="10" t="s">
        <v>78</v>
      </c>
      <c r="Z12" s="5" t="s">
        <v>584</v>
      </c>
      <c r="AA12">
        <f>COUNTIF([1]Sheet1!$Q:$R, "*"&amp; A12&amp;"*")</f>
        <v>0</v>
      </c>
    </row>
    <row r="13" spans="1:27" x14ac:dyDescent="0.2">
      <c r="A13" s="13">
        <v>100009</v>
      </c>
      <c r="B13" s="13" t="s">
        <v>581</v>
      </c>
      <c r="C13" s="5">
        <v>1</v>
      </c>
      <c r="D13" s="5">
        <f>INT(E13/3)</f>
        <v>17</v>
      </c>
      <c r="E13" s="5">
        <v>51</v>
      </c>
      <c r="F13" s="5">
        <v>74</v>
      </c>
      <c r="G13" s="5">
        <v>26</v>
      </c>
      <c r="H13" s="5">
        <v>78</v>
      </c>
      <c r="I13" s="5">
        <v>75</v>
      </c>
      <c r="J13" s="5">
        <f>SUM(E13:I13)</f>
        <v>304</v>
      </c>
      <c r="K13" s="5">
        <v>310</v>
      </c>
      <c r="L13" s="5">
        <v>6</v>
      </c>
      <c r="M13" s="5">
        <v>10</v>
      </c>
      <c r="N13" s="5">
        <v>17</v>
      </c>
      <c r="O13" s="5"/>
      <c r="P13" s="5"/>
      <c r="Q13" s="5">
        <v>0</v>
      </c>
      <c r="R13" s="5">
        <v>0</v>
      </c>
      <c r="S13" s="5">
        <v>1</v>
      </c>
      <c r="T13" s="5" t="s">
        <v>296</v>
      </c>
      <c r="U13" s="5"/>
      <c r="V13" s="5"/>
      <c r="W13" s="5"/>
      <c r="X13" s="5" t="s">
        <v>193</v>
      </c>
      <c r="Y13" s="10" t="s">
        <v>78</v>
      </c>
      <c r="Z13" s="5" t="s">
        <v>582</v>
      </c>
      <c r="AA13">
        <f>COUNTIF([1]Sheet1!$Q:$R, "*"&amp; A13&amp;"*")</f>
        <v>0</v>
      </c>
    </row>
    <row r="14" spans="1:27" x14ac:dyDescent="0.2">
      <c r="A14" s="13">
        <v>100010</v>
      </c>
      <c r="B14" s="13" t="s">
        <v>166</v>
      </c>
      <c r="C14" s="5">
        <v>1</v>
      </c>
      <c r="D14" s="5">
        <f>INT(E14/3)</f>
        <v>22</v>
      </c>
      <c r="E14" s="5">
        <v>67</v>
      </c>
      <c r="F14" s="5">
        <v>65</v>
      </c>
      <c r="G14" s="5">
        <v>65</v>
      </c>
      <c r="H14" s="5">
        <v>60</v>
      </c>
      <c r="I14" s="5">
        <v>45</v>
      </c>
      <c r="J14" s="5">
        <f>SUM(E14:I14)</f>
        <v>302</v>
      </c>
      <c r="K14" s="5">
        <v>335</v>
      </c>
      <c r="L14" s="5">
        <v>10</v>
      </c>
      <c r="M14" s="5">
        <v>10</v>
      </c>
      <c r="N14" s="5">
        <v>17</v>
      </c>
      <c r="O14" s="5"/>
      <c r="P14" s="5"/>
      <c r="Q14" s="5">
        <f>MAX(25, INT(POWER(2.2,J14/45)))</f>
        <v>198</v>
      </c>
      <c r="R14" s="5">
        <v>0</v>
      </c>
      <c r="S14" s="5">
        <v>1</v>
      </c>
      <c r="T14" s="5" t="s">
        <v>296</v>
      </c>
      <c r="U14" s="5"/>
      <c r="V14" s="5"/>
      <c r="W14" s="5"/>
      <c r="X14" s="5" t="s">
        <v>193</v>
      </c>
      <c r="Y14" s="10" t="s">
        <v>78</v>
      </c>
      <c r="Z14" s="5" t="s">
        <v>570</v>
      </c>
      <c r="AA14">
        <f>COUNTIF([1]Sheet1!$Q:$R, "*"&amp; A14&amp;"*")</f>
        <v>0</v>
      </c>
    </row>
    <row r="15" spans="1:27" x14ac:dyDescent="0.2">
      <c r="A15" s="13">
        <v>100011</v>
      </c>
      <c r="B15" s="13" t="s">
        <v>167</v>
      </c>
      <c r="C15" s="5">
        <v>1</v>
      </c>
      <c r="D15" s="5">
        <f>INT(E15/3)</f>
        <v>27</v>
      </c>
      <c r="E15" s="5">
        <v>82</v>
      </c>
      <c r="F15" s="5">
        <v>51</v>
      </c>
      <c r="G15" s="5">
        <v>80</v>
      </c>
      <c r="H15" s="5">
        <v>72</v>
      </c>
      <c r="I15" s="5">
        <v>80</v>
      </c>
      <c r="J15" s="5">
        <f>SUM(E15:I15)</f>
        <v>365</v>
      </c>
      <c r="K15" s="5">
        <v>290</v>
      </c>
      <c r="L15" s="5">
        <v>10</v>
      </c>
      <c r="M15" s="5">
        <v>10</v>
      </c>
      <c r="N15" s="5">
        <v>17</v>
      </c>
      <c r="O15" s="5"/>
      <c r="P15" s="5"/>
      <c r="Q15" s="5">
        <f>MAX(25, INT(POWER(2.2,J15/45)))</f>
        <v>599</v>
      </c>
      <c r="R15" s="5">
        <v>0</v>
      </c>
      <c r="S15" s="5">
        <v>1</v>
      </c>
      <c r="T15" s="5" t="s">
        <v>296</v>
      </c>
      <c r="U15" s="5"/>
      <c r="V15" s="5"/>
      <c r="W15" s="5"/>
      <c r="X15" s="5" t="s">
        <v>193</v>
      </c>
      <c r="Y15" s="10" t="s">
        <v>78</v>
      </c>
      <c r="Z15" s="5" t="s">
        <v>571</v>
      </c>
      <c r="AA15">
        <f>COUNTIF([1]Sheet1!$Q:$R, "*"&amp; A15&amp;"*")</f>
        <v>1</v>
      </c>
    </row>
    <row r="16" spans="1:27" x14ac:dyDescent="0.2">
      <c r="A16" s="13">
        <v>100012</v>
      </c>
      <c r="B16" s="13" t="s">
        <v>132</v>
      </c>
      <c r="C16" s="5">
        <v>1</v>
      </c>
      <c r="D16" s="5">
        <f>INT(E16/3)</f>
        <v>27</v>
      </c>
      <c r="E16" s="5">
        <v>83</v>
      </c>
      <c r="F16" s="5">
        <v>75</v>
      </c>
      <c r="G16" s="5">
        <v>82</v>
      </c>
      <c r="H16" s="5">
        <v>75</v>
      </c>
      <c r="I16" s="5">
        <v>78</v>
      </c>
      <c r="J16" s="5">
        <f>SUM(E16:I16)</f>
        <v>393</v>
      </c>
      <c r="K16" s="5">
        <v>295</v>
      </c>
      <c r="L16" s="5">
        <v>10</v>
      </c>
      <c r="M16" s="5">
        <v>10</v>
      </c>
      <c r="N16" s="5">
        <v>17</v>
      </c>
      <c r="O16" s="5"/>
      <c r="P16" s="5"/>
      <c r="Q16" s="5">
        <f>MAX(25, INT(POWER(2.2,J16/45)))</f>
        <v>978</v>
      </c>
      <c r="R16" s="5">
        <v>0</v>
      </c>
      <c r="S16" s="5">
        <v>1</v>
      </c>
      <c r="T16" s="5" t="s">
        <v>296</v>
      </c>
      <c r="U16" s="5"/>
      <c r="V16" s="5"/>
      <c r="W16" s="5"/>
      <c r="X16" s="5" t="s">
        <v>193</v>
      </c>
      <c r="Y16" s="10" t="s">
        <v>78</v>
      </c>
      <c r="Z16" s="5" t="s">
        <v>567</v>
      </c>
      <c r="AA16">
        <f>COUNTIF([1]Sheet1!$Q:$R, "*"&amp; A16&amp;"*")</f>
        <v>0</v>
      </c>
    </row>
    <row r="17" spans="1:27" x14ac:dyDescent="0.2">
      <c r="A17" s="13">
        <v>100013</v>
      </c>
      <c r="B17" s="13" t="s">
        <v>585</v>
      </c>
      <c r="C17" s="5">
        <v>1</v>
      </c>
      <c r="D17" s="5">
        <f>INT(E17/3)</f>
        <v>22</v>
      </c>
      <c r="E17" s="5">
        <v>67</v>
      </c>
      <c r="F17" s="5">
        <v>66</v>
      </c>
      <c r="G17" s="5">
        <v>71</v>
      </c>
      <c r="H17" s="5">
        <v>51</v>
      </c>
      <c r="I17" s="5">
        <v>55</v>
      </c>
      <c r="J17" s="5">
        <f>SUM(E17:I17)</f>
        <v>310</v>
      </c>
      <c r="K17" s="5">
        <v>295</v>
      </c>
      <c r="L17" s="5">
        <v>10</v>
      </c>
      <c r="M17" s="5">
        <v>10</v>
      </c>
      <c r="N17" s="5">
        <v>17</v>
      </c>
      <c r="O17" s="5"/>
      <c r="P17" s="5"/>
      <c r="Q17" s="5">
        <f>MAX(25, INT(POWER(2.2,J17/45)))</f>
        <v>228</v>
      </c>
      <c r="R17" s="5">
        <v>0</v>
      </c>
      <c r="S17" s="5">
        <v>1</v>
      </c>
      <c r="T17" s="5" t="s">
        <v>296</v>
      </c>
      <c r="U17" s="5"/>
      <c r="V17" s="5"/>
      <c r="W17" s="5"/>
      <c r="X17" s="5" t="s">
        <v>193</v>
      </c>
      <c r="Y17" s="10" t="s">
        <v>78</v>
      </c>
      <c r="Z17" s="5" t="s">
        <v>586</v>
      </c>
      <c r="AA17">
        <f>COUNTIF([1]Sheet1!$Q:$R, "*"&amp; A17&amp;"*")</f>
        <v>0</v>
      </c>
    </row>
    <row r="18" spans="1:27" x14ac:dyDescent="0.2">
      <c r="A18" s="5">
        <v>101001</v>
      </c>
      <c r="B18" s="5" t="s">
        <v>25</v>
      </c>
      <c r="C18" s="5">
        <v>1</v>
      </c>
      <c r="D18" s="5">
        <f>INT(E18/3)</f>
        <v>30</v>
      </c>
      <c r="E18" s="5">
        <v>91</v>
      </c>
      <c r="F18" s="5">
        <v>76</v>
      </c>
      <c r="G18" s="5">
        <v>96</v>
      </c>
      <c r="H18" s="5">
        <v>75</v>
      </c>
      <c r="I18" s="5">
        <v>93</v>
      </c>
      <c r="J18" s="5">
        <f>SUM(E18:I18)</f>
        <v>431</v>
      </c>
      <c r="K18" s="5">
        <v>300</v>
      </c>
      <c r="L18" s="5">
        <v>1</v>
      </c>
      <c r="M18" s="5">
        <v>10</v>
      </c>
      <c r="N18" s="5">
        <v>17</v>
      </c>
      <c r="O18" s="5"/>
      <c r="P18" s="5"/>
      <c r="Q18" s="5">
        <f>MAX(25, INT(POWER(2.2,J18/45)))</f>
        <v>1903</v>
      </c>
      <c r="R18" s="5">
        <v>0</v>
      </c>
      <c r="S18" s="5">
        <v>1</v>
      </c>
      <c r="T18" s="5" t="s">
        <v>310</v>
      </c>
      <c r="U18" s="5"/>
      <c r="V18" s="5" t="s">
        <v>283</v>
      </c>
      <c r="W18" s="5" t="s">
        <v>397</v>
      </c>
      <c r="X18" s="5" t="s">
        <v>194</v>
      </c>
      <c r="Y18" s="10" t="s">
        <v>350</v>
      </c>
      <c r="Z18" s="5" t="s">
        <v>420</v>
      </c>
      <c r="AA18">
        <f>COUNTIF([1]Sheet1!$Q:$R, "*"&amp; A18&amp;"*")</f>
        <v>1</v>
      </c>
    </row>
    <row r="19" spans="1:27" x14ac:dyDescent="0.2">
      <c r="A19" s="5">
        <v>101002</v>
      </c>
      <c r="B19" s="5" t="s">
        <v>26</v>
      </c>
      <c r="C19" s="5">
        <v>1</v>
      </c>
      <c r="D19" s="5">
        <f>INT(E19/3)</f>
        <v>30</v>
      </c>
      <c r="E19" s="5">
        <v>92</v>
      </c>
      <c r="F19" s="5">
        <v>48</v>
      </c>
      <c r="G19" s="5">
        <v>98</v>
      </c>
      <c r="H19" s="5">
        <v>45</v>
      </c>
      <c r="I19" s="5">
        <v>70</v>
      </c>
      <c r="J19" s="5">
        <f>SUM(E19:I19)</f>
        <v>353</v>
      </c>
      <c r="K19" s="5">
        <v>310</v>
      </c>
      <c r="L19" s="5">
        <v>1</v>
      </c>
      <c r="M19" s="5">
        <v>10</v>
      </c>
      <c r="N19" s="5">
        <v>17</v>
      </c>
      <c r="O19" s="5"/>
      <c r="P19" s="5"/>
      <c r="Q19" s="5">
        <f>MAX(25, INT(POWER(2.2,J19/45)))</f>
        <v>485</v>
      </c>
      <c r="R19" s="5">
        <v>0</v>
      </c>
      <c r="S19" s="5">
        <v>1</v>
      </c>
      <c r="T19" s="5" t="s">
        <v>300</v>
      </c>
      <c r="U19" s="5"/>
      <c r="V19" s="5" t="s">
        <v>268</v>
      </c>
      <c r="W19" s="5"/>
      <c r="X19" s="5" t="s">
        <v>195</v>
      </c>
      <c r="Y19" s="10" t="s">
        <v>78</v>
      </c>
      <c r="Z19" s="5" t="s">
        <v>421</v>
      </c>
      <c r="AA19">
        <f>COUNTIF([1]Sheet1!$Q:$R, "*"&amp; A19&amp;"*")</f>
        <v>1</v>
      </c>
    </row>
    <row r="20" spans="1:27" x14ac:dyDescent="0.2">
      <c r="A20" s="5">
        <v>101003</v>
      </c>
      <c r="B20" s="5" t="s">
        <v>36</v>
      </c>
      <c r="C20" s="5">
        <v>1</v>
      </c>
      <c r="D20" s="5">
        <f>INT(E20/3)</f>
        <v>30</v>
      </c>
      <c r="E20" s="5">
        <v>92</v>
      </c>
      <c r="F20" s="5">
        <v>54</v>
      </c>
      <c r="G20" s="5">
        <v>97</v>
      </c>
      <c r="H20" s="5">
        <v>50</v>
      </c>
      <c r="I20" s="5">
        <v>80</v>
      </c>
      <c r="J20" s="5">
        <f>SUM(E20:I20)</f>
        <v>373</v>
      </c>
      <c r="K20" s="5">
        <v>335</v>
      </c>
      <c r="L20" s="5">
        <v>1</v>
      </c>
      <c r="M20" s="5">
        <v>10</v>
      </c>
      <c r="N20" s="5">
        <v>17</v>
      </c>
      <c r="O20" s="5"/>
      <c r="P20" s="5"/>
      <c r="Q20" s="5">
        <f>MAX(25, INT(POWER(2.2,J20/45)))</f>
        <v>689</v>
      </c>
      <c r="R20" s="5">
        <v>0</v>
      </c>
      <c r="S20" s="5">
        <v>1</v>
      </c>
      <c r="T20" s="5" t="s">
        <v>310</v>
      </c>
      <c r="U20" s="5"/>
      <c r="V20" s="5" t="s">
        <v>355</v>
      </c>
      <c r="W20" s="5"/>
      <c r="X20" s="5" t="s">
        <v>195</v>
      </c>
      <c r="Y20" s="10" t="s">
        <v>349</v>
      </c>
      <c r="Z20" s="5" t="s">
        <v>422</v>
      </c>
      <c r="AA20">
        <f>COUNTIF([1]Sheet1!$Q:$R, "*"&amp; A20&amp;"*")</f>
        <v>1</v>
      </c>
    </row>
    <row r="21" spans="1:27" x14ac:dyDescent="0.2">
      <c r="A21" s="5">
        <v>101004</v>
      </c>
      <c r="B21" s="5" t="s">
        <v>29</v>
      </c>
      <c r="C21" s="5">
        <v>1</v>
      </c>
      <c r="D21" s="5">
        <f>INT(E21/3)</f>
        <v>32</v>
      </c>
      <c r="E21" s="5">
        <v>98</v>
      </c>
      <c r="F21" s="5">
        <v>100</v>
      </c>
      <c r="G21" s="5">
        <v>45</v>
      </c>
      <c r="H21" s="5">
        <v>99</v>
      </c>
      <c r="I21" s="5">
        <v>92</v>
      </c>
      <c r="J21" s="5">
        <f>SUM(E21:I21)</f>
        <v>434</v>
      </c>
      <c r="K21" s="5">
        <v>245</v>
      </c>
      <c r="L21" s="5">
        <v>1</v>
      </c>
      <c r="M21" s="5">
        <v>10</v>
      </c>
      <c r="N21" s="5">
        <v>17</v>
      </c>
      <c r="O21" s="5">
        <v>18</v>
      </c>
      <c r="P21" s="5"/>
      <c r="Q21" s="5">
        <f>MAX(25, INT(POWER(2.2,J21/45)))</f>
        <v>2006</v>
      </c>
      <c r="R21" s="5">
        <v>0</v>
      </c>
      <c r="S21" s="5">
        <v>3</v>
      </c>
      <c r="T21" s="5" t="s">
        <v>303</v>
      </c>
      <c r="U21" s="5"/>
      <c r="V21" s="5" t="s">
        <v>267</v>
      </c>
      <c r="W21" s="5" t="s">
        <v>401</v>
      </c>
      <c r="X21" s="5" t="s">
        <v>197</v>
      </c>
      <c r="Y21" s="10" t="s">
        <v>347</v>
      </c>
      <c r="Z21" s="5" t="s">
        <v>423</v>
      </c>
      <c r="AA21">
        <f>COUNTIF([1]Sheet1!$Q:$R, "*"&amp; A21&amp;"*")</f>
        <v>1</v>
      </c>
    </row>
    <row r="22" spans="1:27" x14ac:dyDescent="0.2">
      <c r="A22" s="5">
        <v>101005</v>
      </c>
      <c r="B22" s="5" t="s">
        <v>37</v>
      </c>
      <c r="C22" s="5">
        <v>1</v>
      </c>
      <c r="D22" s="5">
        <f>INT(E22/3)</f>
        <v>32</v>
      </c>
      <c r="E22" s="5">
        <v>97</v>
      </c>
      <c r="F22" s="5">
        <v>77</v>
      </c>
      <c r="G22" s="5">
        <v>97</v>
      </c>
      <c r="H22" s="5">
        <v>75</v>
      </c>
      <c r="I22" s="5">
        <v>94</v>
      </c>
      <c r="J22" s="5">
        <f>SUM(E22:I22)</f>
        <v>440</v>
      </c>
      <c r="K22" s="5">
        <v>260</v>
      </c>
      <c r="L22" s="5">
        <v>1</v>
      </c>
      <c r="M22" s="5">
        <v>10</v>
      </c>
      <c r="N22" s="5">
        <v>17</v>
      </c>
      <c r="O22" s="5"/>
      <c r="P22" s="5"/>
      <c r="Q22" s="5">
        <f>MAX(25, INT(POWER(2.2,J22/45)))</f>
        <v>2229</v>
      </c>
      <c r="R22" s="5">
        <v>0</v>
      </c>
      <c r="S22" s="5">
        <v>1</v>
      </c>
      <c r="T22" s="5" t="s">
        <v>298</v>
      </c>
      <c r="U22" s="5"/>
      <c r="V22" s="5" t="s">
        <v>269</v>
      </c>
      <c r="W22" s="5"/>
      <c r="X22" s="5" t="s">
        <v>195</v>
      </c>
      <c r="Y22" s="10" t="s">
        <v>348</v>
      </c>
      <c r="Z22" s="5" t="s">
        <v>424</v>
      </c>
      <c r="AA22">
        <f>COUNTIF([1]Sheet1!$Q:$R, "*"&amp; A22&amp;"*")</f>
        <v>1</v>
      </c>
    </row>
    <row r="23" spans="1:27" x14ac:dyDescent="0.2">
      <c r="A23" s="5">
        <v>101006</v>
      </c>
      <c r="B23" s="5" t="s">
        <v>240</v>
      </c>
      <c r="C23" s="5">
        <v>1</v>
      </c>
      <c r="D23" s="5">
        <f>INT(E23/3)</f>
        <v>29</v>
      </c>
      <c r="E23" s="5">
        <v>87</v>
      </c>
      <c r="F23" s="5">
        <v>93</v>
      </c>
      <c r="G23" s="5">
        <v>65</v>
      </c>
      <c r="H23" s="5">
        <v>82</v>
      </c>
      <c r="I23" s="5">
        <v>84</v>
      </c>
      <c r="J23" s="5">
        <f>SUM(E23:I23)</f>
        <v>411</v>
      </c>
      <c r="K23" s="5">
        <v>230</v>
      </c>
      <c r="L23" s="5">
        <v>1</v>
      </c>
      <c r="M23" s="5">
        <v>10</v>
      </c>
      <c r="N23" s="5">
        <v>17</v>
      </c>
      <c r="O23" s="5">
        <v>15</v>
      </c>
      <c r="P23" s="5"/>
      <c r="Q23" s="5">
        <f>MAX(25, INT(POWER(2.2,J23/45)))</f>
        <v>1341</v>
      </c>
      <c r="R23" s="5">
        <v>0</v>
      </c>
      <c r="S23" s="5">
        <v>3</v>
      </c>
      <c r="T23" s="5" t="s">
        <v>303</v>
      </c>
      <c r="U23" s="5"/>
      <c r="V23" s="5" t="s">
        <v>381</v>
      </c>
      <c r="W23" s="5" t="s">
        <v>384</v>
      </c>
      <c r="X23" s="5" t="s">
        <v>197</v>
      </c>
      <c r="Y23" s="10" t="s">
        <v>178</v>
      </c>
      <c r="Z23" s="5" t="s">
        <v>425</v>
      </c>
      <c r="AA23">
        <f>COUNTIF([1]Sheet1!$Q:$R, "*"&amp; A23&amp;"*")</f>
        <v>1</v>
      </c>
    </row>
    <row r="24" spans="1:27" x14ac:dyDescent="0.2">
      <c r="A24" s="5">
        <v>101007</v>
      </c>
      <c r="B24" s="5" t="s">
        <v>247</v>
      </c>
      <c r="C24" s="5">
        <v>1</v>
      </c>
      <c r="D24" s="5">
        <f>INT(E24/3)</f>
        <v>28</v>
      </c>
      <c r="E24" s="5">
        <v>84</v>
      </c>
      <c r="F24" s="5">
        <v>67</v>
      </c>
      <c r="G24" s="5">
        <v>91</v>
      </c>
      <c r="H24" s="5">
        <v>68</v>
      </c>
      <c r="I24" s="5">
        <v>55</v>
      </c>
      <c r="J24" s="5">
        <f>SUM(E24:I24)</f>
        <v>365</v>
      </c>
      <c r="K24" s="5">
        <v>300</v>
      </c>
      <c r="L24" s="5">
        <v>1</v>
      </c>
      <c r="M24" s="5">
        <v>10</v>
      </c>
      <c r="N24" s="5">
        <v>17</v>
      </c>
      <c r="O24" s="5"/>
      <c r="P24" s="5"/>
      <c r="Q24" s="5">
        <f>MAX(25, INT(POWER(2.2,J24/45)))</f>
        <v>599</v>
      </c>
      <c r="R24" s="5">
        <v>0</v>
      </c>
      <c r="S24" s="5">
        <v>1</v>
      </c>
      <c r="T24" s="5" t="s">
        <v>299</v>
      </c>
      <c r="U24" s="5"/>
      <c r="V24" s="5" t="s">
        <v>270</v>
      </c>
      <c r="W24" s="5" t="s">
        <v>398</v>
      </c>
      <c r="X24" s="5" t="s">
        <v>195</v>
      </c>
      <c r="Y24" s="10" t="s">
        <v>78</v>
      </c>
      <c r="Z24" s="5" t="s">
        <v>426</v>
      </c>
      <c r="AA24">
        <f>COUNTIF([1]Sheet1!$Q:$R, "*"&amp; A24&amp;"*")</f>
        <v>1</v>
      </c>
    </row>
    <row r="25" spans="1:27" x14ac:dyDescent="0.2">
      <c r="A25" s="5">
        <v>101008</v>
      </c>
      <c r="B25" s="5" t="s">
        <v>35</v>
      </c>
      <c r="C25" s="5">
        <v>1</v>
      </c>
      <c r="D25" s="5">
        <f>INT(E25/3)</f>
        <v>30</v>
      </c>
      <c r="E25" s="5">
        <v>90</v>
      </c>
      <c r="F25" s="5">
        <v>64</v>
      </c>
      <c r="G25" s="5">
        <v>93</v>
      </c>
      <c r="H25" s="5">
        <v>70</v>
      </c>
      <c r="I25" s="5">
        <v>82</v>
      </c>
      <c r="J25" s="5">
        <f>SUM(E25:I25)</f>
        <v>399</v>
      </c>
      <c r="K25" s="5">
        <v>210</v>
      </c>
      <c r="L25" s="5">
        <v>1</v>
      </c>
      <c r="M25" s="5">
        <v>10</v>
      </c>
      <c r="N25" s="5">
        <v>17</v>
      </c>
      <c r="O25" s="5">
        <v>22</v>
      </c>
      <c r="P25" s="5">
        <v>1.5</v>
      </c>
      <c r="Q25" s="5">
        <f>MAX(25, INT(POWER(2.2,J25/45)))</f>
        <v>1086</v>
      </c>
      <c r="R25" s="5">
        <v>0</v>
      </c>
      <c r="S25" s="5">
        <v>3</v>
      </c>
      <c r="T25" s="5" t="s">
        <v>306</v>
      </c>
      <c r="U25" s="5"/>
      <c r="V25" s="5" t="s">
        <v>271</v>
      </c>
      <c r="W25" s="5" t="s">
        <v>356</v>
      </c>
      <c r="X25" s="5" t="s">
        <v>196</v>
      </c>
      <c r="Y25" s="10" t="s">
        <v>353</v>
      </c>
      <c r="Z25" s="5" t="s">
        <v>427</v>
      </c>
      <c r="AA25">
        <f>COUNTIF([1]Sheet1!$Q:$R, "*"&amp; A25&amp;"*")</f>
        <v>1</v>
      </c>
    </row>
    <row r="26" spans="1:27" x14ac:dyDescent="0.2">
      <c r="A26" s="5">
        <v>101009</v>
      </c>
      <c r="B26" s="5" t="s">
        <v>27</v>
      </c>
      <c r="C26" s="5">
        <v>1</v>
      </c>
      <c r="D26" s="5">
        <f>INT(E26/3)</f>
        <v>21</v>
      </c>
      <c r="E26" s="5">
        <v>63</v>
      </c>
      <c r="F26" s="5">
        <v>55</v>
      </c>
      <c r="G26" s="5">
        <v>82</v>
      </c>
      <c r="H26" s="5">
        <v>58</v>
      </c>
      <c r="I26" s="5">
        <v>65</v>
      </c>
      <c r="J26" s="5">
        <f>SUM(E26:I26)</f>
        <v>323</v>
      </c>
      <c r="K26" s="5">
        <v>335</v>
      </c>
      <c r="L26" s="5">
        <v>1</v>
      </c>
      <c r="M26" s="5">
        <v>10</v>
      </c>
      <c r="N26" s="5">
        <v>17</v>
      </c>
      <c r="O26" s="5"/>
      <c r="P26" s="5"/>
      <c r="Q26" s="5">
        <f>MAX(25, INT(POWER(2.2,J26/45)))</f>
        <v>286</v>
      </c>
      <c r="R26" s="5">
        <v>0</v>
      </c>
      <c r="S26" s="5">
        <v>1</v>
      </c>
      <c r="T26" s="5" t="s">
        <v>309</v>
      </c>
      <c r="U26" s="5"/>
      <c r="V26" s="5" t="s">
        <v>380</v>
      </c>
      <c r="W26" s="5"/>
      <c r="X26" s="5" t="s">
        <v>319</v>
      </c>
      <c r="Y26" s="10" t="s">
        <v>78</v>
      </c>
      <c r="Z26" s="5" t="s">
        <v>428</v>
      </c>
      <c r="AA26">
        <f>COUNTIF([1]Sheet1!$Q:$R, "*"&amp; A26&amp;"*")</f>
        <v>1</v>
      </c>
    </row>
    <row r="27" spans="1:27" x14ac:dyDescent="0.2">
      <c r="A27" s="5">
        <v>101010</v>
      </c>
      <c r="B27" s="5" t="s">
        <v>63</v>
      </c>
      <c r="C27" s="5">
        <v>1</v>
      </c>
      <c r="D27" s="5">
        <f>INT(E27/3)</f>
        <v>30</v>
      </c>
      <c r="E27" s="5">
        <v>92</v>
      </c>
      <c r="F27" s="5">
        <v>90</v>
      </c>
      <c r="G27" s="5">
        <v>89</v>
      </c>
      <c r="H27" s="5">
        <v>85</v>
      </c>
      <c r="I27" s="5">
        <v>88</v>
      </c>
      <c r="J27" s="5">
        <f>SUM(E27:I27)</f>
        <v>444</v>
      </c>
      <c r="K27" s="5">
        <v>295</v>
      </c>
      <c r="L27" s="5">
        <v>1</v>
      </c>
      <c r="M27" s="5">
        <v>10</v>
      </c>
      <c r="N27" s="5">
        <v>17</v>
      </c>
      <c r="O27" s="5"/>
      <c r="P27" s="5"/>
      <c r="Q27" s="5">
        <f>MAX(25, INT(POWER(2.2,J27/45)))</f>
        <v>2390</v>
      </c>
      <c r="R27" s="5">
        <v>0</v>
      </c>
      <c r="S27" s="5">
        <v>1</v>
      </c>
      <c r="T27" s="5" t="s">
        <v>298</v>
      </c>
      <c r="U27" s="5"/>
      <c r="V27" s="5" t="s">
        <v>318</v>
      </c>
      <c r="W27" s="5"/>
      <c r="X27" s="5" t="s">
        <v>199</v>
      </c>
      <c r="Y27" s="10" t="s">
        <v>78</v>
      </c>
      <c r="Z27" s="5" t="s">
        <v>429</v>
      </c>
      <c r="AA27">
        <f>COUNTIF([1]Sheet1!$Q:$R, "*"&amp; A27&amp;"*")</f>
        <v>1</v>
      </c>
    </row>
    <row r="28" spans="1:27" x14ac:dyDescent="0.2">
      <c r="A28" s="5">
        <v>101011</v>
      </c>
      <c r="B28" s="5" t="s">
        <v>41</v>
      </c>
      <c r="C28" s="5">
        <v>1</v>
      </c>
      <c r="D28" s="5">
        <f>INT(E28/3)</f>
        <v>26</v>
      </c>
      <c r="E28" s="5">
        <v>80</v>
      </c>
      <c r="F28" s="5">
        <v>66</v>
      </c>
      <c r="G28" s="5">
        <v>85</v>
      </c>
      <c r="H28" s="5">
        <v>72</v>
      </c>
      <c r="I28" s="5">
        <v>78</v>
      </c>
      <c r="J28" s="5">
        <f>SUM(E28:I28)</f>
        <v>381</v>
      </c>
      <c r="K28" s="5">
        <v>300</v>
      </c>
      <c r="L28" s="5">
        <v>1</v>
      </c>
      <c r="M28" s="5">
        <v>10</v>
      </c>
      <c r="N28" s="5">
        <v>17</v>
      </c>
      <c r="O28" s="5"/>
      <c r="P28" s="5"/>
      <c r="Q28" s="5">
        <f>MAX(25, INT(POWER(2.2,J28/45)))</f>
        <v>792</v>
      </c>
      <c r="R28" s="5">
        <v>0</v>
      </c>
      <c r="S28" s="5">
        <v>1</v>
      </c>
      <c r="T28" s="5" t="s">
        <v>310</v>
      </c>
      <c r="U28" s="5"/>
      <c r="V28" s="5" t="s">
        <v>317</v>
      </c>
      <c r="W28" s="5" t="s">
        <v>397</v>
      </c>
      <c r="X28" s="5" t="s">
        <v>195</v>
      </c>
      <c r="Y28" s="10" t="s">
        <v>78</v>
      </c>
      <c r="Z28" s="5" t="s">
        <v>430</v>
      </c>
      <c r="AA28">
        <f>COUNTIF([1]Sheet1!$Q:$R, "*"&amp; A28&amp;"*")</f>
        <v>1</v>
      </c>
    </row>
    <row r="29" spans="1:27" x14ac:dyDescent="0.2">
      <c r="A29" s="5">
        <v>101012</v>
      </c>
      <c r="B29" s="5" t="s">
        <v>59</v>
      </c>
      <c r="C29" s="5">
        <v>1</v>
      </c>
      <c r="D29" s="5">
        <f>INT(E29/3)</f>
        <v>26</v>
      </c>
      <c r="E29" s="5">
        <v>80</v>
      </c>
      <c r="F29" s="5">
        <v>72</v>
      </c>
      <c r="G29" s="5">
        <v>85</v>
      </c>
      <c r="H29" s="5">
        <v>70</v>
      </c>
      <c r="I29" s="5">
        <v>80</v>
      </c>
      <c r="J29" s="5">
        <f>SUM(E29:I29)</f>
        <v>387</v>
      </c>
      <c r="K29" s="5">
        <v>300</v>
      </c>
      <c r="L29" s="5">
        <v>1</v>
      </c>
      <c r="M29" s="5">
        <v>10</v>
      </c>
      <c r="N29" s="5">
        <v>17</v>
      </c>
      <c r="O29" s="5"/>
      <c r="P29" s="5"/>
      <c r="Q29" s="5">
        <f>MAX(25, INT(POWER(2.2,J29/45)))</f>
        <v>880</v>
      </c>
      <c r="R29" s="5">
        <v>0</v>
      </c>
      <c r="S29" s="5">
        <v>1</v>
      </c>
      <c r="T29" s="5" t="s">
        <v>310</v>
      </c>
      <c r="U29" s="5"/>
      <c r="V29" s="5" t="s">
        <v>339</v>
      </c>
      <c r="X29" s="5" t="s">
        <v>200</v>
      </c>
      <c r="Y29" s="10" t="s">
        <v>78</v>
      </c>
      <c r="Z29" s="5" t="s">
        <v>431</v>
      </c>
      <c r="AA29">
        <f>COUNTIF([1]Sheet1!$Q:$R, "*"&amp; A29&amp;"*")</f>
        <v>1</v>
      </c>
    </row>
    <row r="30" spans="1:27" x14ac:dyDescent="0.2">
      <c r="A30" s="5">
        <v>101013</v>
      </c>
      <c r="B30" s="5" t="s">
        <v>60</v>
      </c>
      <c r="C30" s="5">
        <v>1</v>
      </c>
      <c r="D30" s="5">
        <f>INT(E30/3)</f>
        <v>26</v>
      </c>
      <c r="E30" s="5">
        <v>79</v>
      </c>
      <c r="F30" s="5">
        <v>72</v>
      </c>
      <c r="G30" s="5">
        <v>82</v>
      </c>
      <c r="H30" s="5">
        <v>71</v>
      </c>
      <c r="I30" s="5">
        <v>78</v>
      </c>
      <c r="J30" s="5">
        <f>SUM(E30:I30)</f>
        <v>382</v>
      </c>
      <c r="K30" s="5">
        <v>290</v>
      </c>
      <c r="L30" s="5">
        <v>1</v>
      </c>
      <c r="M30" s="5">
        <v>10</v>
      </c>
      <c r="N30" s="5">
        <v>17</v>
      </c>
      <c r="O30" s="5"/>
      <c r="P30" s="5"/>
      <c r="Q30" s="5">
        <f>MAX(25, INT(POWER(2.2,J30/45)))</f>
        <v>806</v>
      </c>
      <c r="R30" s="5">
        <v>0</v>
      </c>
      <c r="S30" s="5">
        <v>1</v>
      </c>
      <c r="T30" s="5" t="s">
        <v>299</v>
      </c>
      <c r="U30" s="5"/>
      <c r="V30" s="5" t="s">
        <v>312</v>
      </c>
      <c r="X30" s="5" t="s">
        <v>194</v>
      </c>
      <c r="Y30" s="10" t="s">
        <v>78</v>
      </c>
      <c r="Z30" s="5" t="s">
        <v>432</v>
      </c>
      <c r="AA30">
        <f>COUNTIF([1]Sheet1!$Q:$R, "*"&amp; A30&amp;"*")</f>
        <v>1</v>
      </c>
    </row>
    <row r="31" spans="1:27" x14ac:dyDescent="0.2">
      <c r="A31" s="5">
        <v>101014</v>
      </c>
      <c r="B31" s="5" t="s">
        <v>32</v>
      </c>
      <c r="C31" s="5">
        <v>1</v>
      </c>
      <c r="D31" s="5">
        <f>INT(E31/3)</f>
        <v>26</v>
      </c>
      <c r="E31" s="5">
        <v>79</v>
      </c>
      <c r="F31" s="5">
        <v>71</v>
      </c>
      <c r="G31" s="5">
        <v>83</v>
      </c>
      <c r="H31" s="5">
        <v>73</v>
      </c>
      <c r="I31" s="5">
        <v>79</v>
      </c>
      <c r="J31" s="5">
        <f>SUM(E31:I31)</f>
        <v>385</v>
      </c>
      <c r="K31" s="5">
        <v>280</v>
      </c>
      <c r="L31" s="5">
        <v>1</v>
      </c>
      <c r="M31" s="5">
        <v>10</v>
      </c>
      <c r="N31" s="5">
        <v>17</v>
      </c>
      <c r="O31" s="5"/>
      <c r="P31" s="5"/>
      <c r="Q31" s="5">
        <f>MAX(25, INT(POWER(2.2,J31/45)))</f>
        <v>850</v>
      </c>
      <c r="R31" s="5">
        <v>0</v>
      </c>
      <c r="S31" s="5">
        <v>1</v>
      </c>
      <c r="T31" s="5" t="s">
        <v>297</v>
      </c>
      <c r="U31" s="5"/>
      <c r="V31" s="5" t="s">
        <v>378</v>
      </c>
      <c r="W31" s="5"/>
      <c r="X31" s="5" t="s">
        <v>194</v>
      </c>
      <c r="Y31" s="10" t="s">
        <v>342</v>
      </c>
      <c r="Z31" s="5" t="s">
        <v>433</v>
      </c>
      <c r="AA31">
        <f>COUNTIF([1]Sheet1!$Q:$R, "*"&amp; A31&amp;"*")</f>
        <v>1</v>
      </c>
    </row>
    <row r="32" spans="1:27" x14ac:dyDescent="0.2">
      <c r="A32" s="5">
        <v>101015</v>
      </c>
      <c r="B32" s="5" t="s">
        <v>237</v>
      </c>
      <c r="C32" s="5">
        <v>1</v>
      </c>
      <c r="D32" s="5">
        <f>INT(E32/3)</f>
        <v>24</v>
      </c>
      <c r="E32" s="5">
        <v>74</v>
      </c>
      <c r="F32" s="5">
        <v>68</v>
      </c>
      <c r="G32" s="5">
        <v>78</v>
      </c>
      <c r="H32" s="5">
        <v>70</v>
      </c>
      <c r="I32" s="5">
        <v>72</v>
      </c>
      <c r="J32" s="5">
        <f>SUM(E32:I32)</f>
        <v>362</v>
      </c>
      <c r="K32" s="5">
        <v>330</v>
      </c>
      <c r="L32" s="5">
        <v>1</v>
      </c>
      <c r="M32" s="5">
        <v>10</v>
      </c>
      <c r="N32" s="5">
        <v>17</v>
      </c>
      <c r="O32" s="5"/>
      <c r="P32" s="5"/>
      <c r="Q32" s="5">
        <f>MAX(25, INT(POWER(2.2,J32/45)))</f>
        <v>568</v>
      </c>
      <c r="R32" s="5">
        <v>0</v>
      </c>
      <c r="S32" s="5">
        <v>1</v>
      </c>
      <c r="T32" s="5" t="s">
        <v>309</v>
      </c>
      <c r="U32" s="5"/>
      <c r="V32" s="5" t="s">
        <v>336</v>
      </c>
      <c r="W32" s="5"/>
      <c r="X32" s="5" t="s">
        <v>320</v>
      </c>
      <c r="Y32" s="10" t="s">
        <v>78</v>
      </c>
      <c r="Z32" s="5" t="s">
        <v>434</v>
      </c>
      <c r="AA32">
        <f>COUNTIF([1]Sheet1!$Q:$R, "*"&amp; A32&amp;"*")</f>
        <v>1</v>
      </c>
    </row>
    <row r="33" spans="1:27" x14ac:dyDescent="0.2">
      <c r="A33" s="5">
        <v>101016</v>
      </c>
      <c r="B33" s="5" t="s">
        <v>64</v>
      </c>
      <c r="C33" s="5">
        <v>1</v>
      </c>
      <c r="D33" s="5">
        <f>INT(E33/3)</f>
        <v>29</v>
      </c>
      <c r="E33" s="5">
        <v>87</v>
      </c>
      <c r="F33" s="5">
        <v>51</v>
      </c>
      <c r="G33" s="5">
        <v>87</v>
      </c>
      <c r="H33" s="5">
        <v>55</v>
      </c>
      <c r="I33" s="5">
        <v>75</v>
      </c>
      <c r="J33" s="5">
        <f>SUM(E33:I33)</f>
        <v>355</v>
      </c>
      <c r="K33" s="5">
        <v>310</v>
      </c>
      <c r="L33" s="5">
        <v>1</v>
      </c>
      <c r="M33" s="5">
        <v>10</v>
      </c>
      <c r="N33" s="5">
        <v>17</v>
      </c>
      <c r="O33" s="5"/>
      <c r="P33" s="5"/>
      <c r="Q33" s="5">
        <f>MAX(25, INT(POWER(2.2,J33/45)))</f>
        <v>502</v>
      </c>
      <c r="R33" s="5">
        <v>0</v>
      </c>
      <c r="S33" s="5">
        <v>1</v>
      </c>
      <c r="T33" s="5" t="s">
        <v>309</v>
      </c>
      <c r="U33" s="5"/>
      <c r="V33" s="5" t="s">
        <v>272</v>
      </c>
      <c r="W33" s="5"/>
      <c r="X33" s="5" t="s">
        <v>195</v>
      </c>
      <c r="Y33" s="10" t="s">
        <v>78</v>
      </c>
      <c r="Z33" s="5" t="s">
        <v>435</v>
      </c>
      <c r="AA33">
        <f>COUNTIF([1]Sheet1!$Q:$R, "*"&amp; A33&amp;"*")</f>
        <v>1</v>
      </c>
    </row>
    <row r="34" spans="1:27" x14ac:dyDescent="0.2">
      <c r="A34" s="5">
        <v>101017</v>
      </c>
      <c r="B34" s="5" t="s">
        <v>65</v>
      </c>
      <c r="C34" s="5">
        <v>1</v>
      </c>
      <c r="D34" s="5">
        <f>INT(E34/3)</f>
        <v>28</v>
      </c>
      <c r="E34" s="5">
        <v>85</v>
      </c>
      <c r="F34" s="5">
        <v>98</v>
      </c>
      <c r="G34" s="5">
        <v>47</v>
      </c>
      <c r="H34" s="5">
        <v>86</v>
      </c>
      <c r="I34" s="5">
        <v>65</v>
      </c>
      <c r="J34" s="5">
        <f>SUM(E34:I34)</f>
        <v>381</v>
      </c>
      <c r="K34" s="5">
        <v>250</v>
      </c>
      <c r="L34" s="5">
        <v>1</v>
      </c>
      <c r="M34" s="5">
        <v>10</v>
      </c>
      <c r="N34" s="5">
        <v>17</v>
      </c>
      <c r="O34" s="5">
        <v>15</v>
      </c>
      <c r="P34" s="5"/>
      <c r="Q34" s="5">
        <f>MAX(25, INT(POWER(2.2,J34/45)))</f>
        <v>792</v>
      </c>
      <c r="R34" s="5">
        <v>0</v>
      </c>
      <c r="S34" s="5">
        <v>3</v>
      </c>
      <c r="T34" s="5" t="s">
        <v>303</v>
      </c>
      <c r="U34" s="5"/>
      <c r="V34" s="5" t="s">
        <v>273</v>
      </c>
      <c r="W34" s="5" t="s">
        <v>381</v>
      </c>
      <c r="X34" s="5" t="s">
        <v>197</v>
      </c>
      <c r="Y34" s="10" t="s">
        <v>172</v>
      </c>
      <c r="Z34" s="5" t="s">
        <v>436</v>
      </c>
      <c r="AA34">
        <f>COUNTIF([1]Sheet1!$Q:$R, "*"&amp; A34&amp;"*")</f>
        <v>1</v>
      </c>
    </row>
    <row r="35" spans="1:27" x14ac:dyDescent="0.2">
      <c r="A35" s="5">
        <v>101018</v>
      </c>
      <c r="B35" s="5" t="s">
        <v>66</v>
      </c>
      <c r="C35" s="5">
        <v>1</v>
      </c>
      <c r="D35" s="5">
        <f>INT(E35/3)</f>
        <v>27</v>
      </c>
      <c r="E35" s="5">
        <v>82</v>
      </c>
      <c r="F35" s="5">
        <v>75</v>
      </c>
      <c r="G35" s="5">
        <v>83</v>
      </c>
      <c r="H35" s="5">
        <v>80</v>
      </c>
      <c r="I35" s="5">
        <v>70</v>
      </c>
      <c r="J35" s="5">
        <f>SUM(E35:I35)</f>
        <v>390</v>
      </c>
      <c r="K35" s="5">
        <v>290</v>
      </c>
      <c r="L35" s="5">
        <v>1</v>
      </c>
      <c r="M35" s="5">
        <v>10</v>
      </c>
      <c r="N35" s="5">
        <v>17</v>
      </c>
      <c r="O35" s="5"/>
      <c r="P35" s="5"/>
      <c r="Q35" s="5">
        <f>MAX(25, INT(POWER(2.2,J35/45)))</f>
        <v>928</v>
      </c>
      <c r="R35" s="5">
        <v>0</v>
      </c>
      <c r="S35" s="5">
        <v>1</v>
      </c>
      <c r="T35" s="5" t="s">
        <v>297</v>
      </c>
      <c r="U35" s="5"/>
      <c r="V35" s="5" t="s">
        <v>362</v>
      </c>
      <c r="X35" s="5" t="s">
        <v>194</v>
      </c>
      <c r="Y35" s="10" t="s">
        <v>78</v>
      </c>
      <c r="Z35" s="5" t="s">
        <v>437</v>
      </c>
      <c r="AA35">
        <f>COUNTIF([1]Sheet1!$Q:$R, "*"&amp; A35&amp;"*")</f>
        <v>1</v>
      </c>
    </row>
    <row r="36" spans="1:27" x14ac:dyDescent="0.2">
      <c r="A36" s="5">
        <v>101019</v>
      </c>
      <c r="B36" s="5" t="s">
        <v>67</v>
      </c>
      <c r="C36" s="5">
        <v>1</v>
      </c>
      <c r="D36" s="5">
        <f>INT(E36/3)</f>
        <v>25</v>
      </c>
      <c r="E36" s="5">
        <v>75</v>
      </c>
      <c r="F36" s="5">
        <v>82</v>
      </c>
      <c r="G36" s="5">
        <v>87</v>
      </c>
      <c r="H36" s="5">
        <v>65</v>
      </c>
      <c r="I36" s="5">
        <v>76</v>
      </c>
      <c r="J36" s="5">
        <f>SUM(E36:I36)</f>
        <v>385</v>
      </c>
      <c r="K36" s="5">
        <v>305</v>
      </c>
      <c r="L36" s="5">
        <v>1</v>
      </c>
      <c r="M36" s="5">
        <v>10</v>
      </c>
      <c r="N36" s="5">
        <v>17</v>
      </c>
      <c r="O36" s="5"/>
      <c r="P36" s="5"/>
      <c r="Q36" s="5">
        <f>MAX(25, INT(POWER(2.2,J36/45)))</f>
        <v>850</v>
      </c>
      <c r="R36" s="5">
        <v>0</v>
      </c>
      <c r="S36" s="5">
        <v>1</v>
      </c>
      <c r="T36" s="5" t="s">
        <v>300</v>
      </c>
      <c r="U36" s="5"/>
      <c r="V36" s="5" t="s">
        <v>398</v>
      </c>
      <c r="X36" s="5" t="s">
        <v>195</v>
      </c>
      <c r="Y36" s="10" t="s">
        <v>78</v>
      </c>
      <c r="Z36" s="5" t="s">
        <v>438</v>
      </c>
      <c r="AA36">
        <f>COUNTIF([1]Sheet1!$Q:$R, "*"&amp; A36&amp;"*")</f>
        <v>1</v>
      </c>
    </row>
    <row r="37" spans="1:27" x14ac:dyDescent="0.2">
      <c r="A37" s="5">
        <v>101020</v>
      </c>
      <c r="B37" s="5" t="s">
        <v>80</v>
      </c>
      <c r="C37" s="5">
        <v>1</v>
      </c>
      <c r="D37" s="5">
        <f>INT(E37/3)</f>
        <v>21</v>
      </c>
      <c r="E37" s="5">
        <v>65</v>
      </c>
      <c r="F37" s="5">
        <v>89</v>
      </c>
      <c r="G37" s="5">
        <v>46</v>
      </c>
      <c r="H37" s="5">
        <v>82</v>
      </c>
      <c r="I37" s="5">
        <v>30</v>
      </c>
      <c r="J37" s="5">
        <f>SUM(E37:I37)</f>
        <v>312</v>
      </c>
      <c r="K37" s="5">
        <v>240</v>
      </c>
      <c r="L37" s="5">
        <v>1</v>
      </c>
      <c r="M37" s="5">
        <v>10</v>
      </c>
      <c r="N37" s="5">
        <v>17</v>
      </c>
      <c r="O37" s="5">
        <v>15</v>
      </c>
      <c r="P37" s="5"/>
      <c r="Q37" s="5">
        <f>MAX(25, INT(POWER(2.2,J37/45)))</f>
        <v>236</v>
      </c>
      <c r="R37" s="5">
        <v>0</v>
      </c>
      <c r="S37" s="5">
        <v>3</v>
      </c>
      <c r="T37" s="5" t="s">
        <v>305</v>
      </c>
      <c r="U37" s="5"/>
      <c r="V37" s="5"/>
      <c r="X37" s="5" t="s">
        <v>197</v>
      </c>
      <c r="Y37" s="10" t="s">
        <v>344</v>
      </c>
      <c r="Z37" s="5" t="s">
        <v>439</v>
      </c>
      <c r="AA37">
        <f>COUNTIF([1]Sheet1!$Q:$R, "*"&amp; A37&amp;"*")</f>
        <v>1</v>
      </c>
    </row>
    <row r="38" spans="1:27" x14ac:dyDescent="0.2">
      <c r="A38" s="5">
        <v>101021</v>
      </c>
      <c r="B38" s="5" t="s">
        <v>81</v>
      </c>
      <c r="C38" s="5">
        <v>1</v>
      </c>
      <c r="D38" s="5">
        <f>INT(E38/3)</f>
        <v>24</v>
      </c>
      <c r="E38" s="5">
        <v>74</v>
      </c>
      <c r="F38" s="5">
        <v>69</v>
      </c>
      <c r="G38" s="5">
        <v>81</v>
      </c>
      <c r="H38" s="5">
        <v>68</v>
      </c>
      <c r="I38" s="5">
        <v>75</v>
      </c>
      <c r="J38" s="5">
        <f>SUM(E38:I38)</f>
        <v>367</v>
      </c>
      <c r="K38" s="5">
        <v>215</v>
      </c>
      <c r="L38" s="5">
        <v>1</v>
      </c>
      <c r="M38" s="5">
        <v>10</v>
      </c>
      <c r="N38" s="5">
        <v>17</v>
      </c>
      <c r="O38" s="5">
        <v>30</v>
      </c>
      <c r="P38" s="5">
        <v>1.5</v>
      </c>
      <c r="Q38" s="5">
        <f>MAX(25, INT(POWER(2.2,J38/45)))</f>
        <v>620</v>
      </c>
      <c r="R38" s="5">
        <v>0</v>
      </c>
      <c r="S38" s="5">
        <v>3</v>
      </c>
      <c r="T38" s="5" t="s">
        <v>302</v>
      </c>
      <c r="U38" s="5"/>
      <c r="V38" s="5"/>
      <c r="X38" s="5" t="s">
        <v>196</v>
      </c>
      <c r="Y38" s="10" t="s">
        <v>352</v>
      </c>
      <c r="Z38" s="5" t="s">
        <v>440</v>
      </c>
      <c r="AA38">
        <f>COUNTIF([1]Sheet1!$Q:$R, "*"&amp; A38&amp;"*")</f>
        <v>1</v>
      </c>
    </row>
    <row r="39" spans="1:27" x14ac:dyDescent="0.2">
      <c r="A39" s="5">
        <v>101022</v>
      </c>
      <c r="B39" s="5" t="s">
        <v>82</v>
      </c>
      <c r="C39" s="5">
        <v>1</v>
      </c>
      <c r="D39" s="5">
        <f>INT(E39/3)</f>
        <v>24</v>
      </c>
      <c r="E39" s="5">
        <v>72</v>
      </c>
      <c r="F39" s="5">
        <v>69</v>
      </c>
      <c r="G39" s="5">
        <v>65</v>
      </c>
      <c r="H39" s="5">
        <v>75</v>
      </c>
      <c r="I39" s="5">
        <v>70</v>
      </c>
      <c r="J39" s="5">
        <f>SUM(E39:I39)</f>
        <v>351</v>
      </c>
      <c r="K39" s="5">
        <v>240</v>
      </c>
      <c r="L39" s="5">
        <v>1</v>
      </c>
      <c r="M39" s="5">
        <v>10</v>
      </c>
      <c r="N39" s="5">
        <v>17</v>
      </c>
      <c r="O39" s="5">
        <v>22</v>
      </c>
      <c r="P39" s="5">
        <v>1.5</v>
      </c>
      <c r="Q39" s="5">
        <f>MAX(25, INT(POWER(2.2,J39/45)))</f>
        <v>468</v>
      </c>
      <c r="R39" s="5">
        <v>0</v>
      </c>
      <c r="S39" s="5">
        <v>3</v>
      </c>
      <c r="T39" s="5" t="s">
        <v>306</v>
      </c>
      <c r="U39" s="5"/>
      <c r="V39" s="5" t="s">
        <v>402</v>
      </c>
      <c r="X39" s="5" t="s">
        <v>196</v>
      </c>
      <c r="Y39" s="10" t="s">
        <v>175</v>
      </c>
      <c r="Z39" s="5" t="s">
        <v>441</v>
      </c>
      <c r="AA39">
        <f>COUNTIF([1]Sheet1!$Q:$R, "*"&amp; A39&amp;"*")</f>
        <v>1</v>
      </c>
    </row>
    <row r="40" spans="1:27" x14ac:dyDescent="0.2">
      <c r="A40" s="5">
        <v>101023</v>
      </c>
      <c r="B40" s="5" t="s">
        <v>235</v>
      </c>
      <c r="C40" s="5">
        <v>1</v>
      </c>
      <c r="D40" s="5">
        <f>INT(E40/3)</f>
        <v>21</v>
      </c>
      <c r="E40" s="5">
        <v>64</v>
      </c>
      <c r="F40" s="5">
        <v>85</v>
      </c>
      <c r="G40" s="5">
        <v>52</v>
      </c>
      <c r="H40" s="5">
        <v>92</v>
      </c>
      <c r="I40" s="5">
        <v>85</v>
      </c>
      <c r="J40" s="5">
        <f>SUM(E40:I40)</f>
        <v>378</v>
      </c>
      <c r="K40" s="5">
        <v>240</v>
      </c>
      <c r="L40" s="5">
        <v>1</v>
      </c>
      <c r="M40" s="5">
        <v>10</v>
      </c>
      <c r="N40" s="5">
        <v>17</v>
      </c>
      <c r="O40" s="5">
        <v>18</v>
      </c>
      <c r="P40" s="5"/>
      <c r="Q40" s="5">
        <f>MAX(25, INT(POWER(2.2,J40/45)))</f>
        <v>752</v>
      </c>
      <c r="R40" s="5">
        <v>0</v>
      </c>
      <c r="S40" s="5">
        <v>3</v>
      </c>
      <c r="T40" s="5" t="s">
        <v>304</v>
      </c>
      <c r="U40" s="5"/>
      <c r="V40" s="5"/>
      <c r="W40" s="5"/>
      <c r="X40" s="5" t="s">
        <v>203</v>
      </c>
      <c r="Y40" s="10" t="s">
        <v>346</v>
      </c>
      <c r="Z40" s="5" t="s">
        <v>442</v>
      </c>
      <c r="AA40">
        <f>COUNTIF([1]Sheet1!$Q:$R, "*"&amp; A40&amp;"*")</f>
        <v>1</v>
      </c>
    </row>
    <row r="41" spans="1:27" x14ac:dyDescent="0.2">
      <c r="A41" s="5">
        <v>101024</v>
      </c>
      <c r="B41" s="5" t="s">
        <v>92</v>
      </c>
      <c r="C41" s="5">
        <v>1</v>
      </c>
      <c r="D41" s="5">
        <f>INT(E41/3)</f>
        <v>20</v>
      </c>
      <c r="E41" s="5">
        <v>62</v>
      </c>
      <c r="F41" s="5">
        <v>80</v>
      </c>
      <c r="G41" s="5">
        <v>54</v>
      </c>
      <c r="H41" s="5">
        <v>84</v>
      </c>
      <c r="I41" s="5">
        <v>82</v>
      </c>
      <c r="J41" s="5">
        <f>SUM(E41:I41)</f>
        <v>362</v>
      </c>
      <c r="K41" s="5">
        <v>250</v>
      </c>
      <c r="L41" s="5">
        <v>1</v>
      </c>
      <c r="M41" s="5">
        <v>10</v>
      </c>
      <c r="N41" s="5">
        <v>17</v>
      </c>
      <c r="O41" s="5">
        <v>35</v>
      </c>
      <c r="P41" s="5"/>
      <c r="Q41" s="5">
        <f>MAX(25, INT(POWER(2.2,J41/45)))</f>
        <v>568</v>
      </c>
      <c r="R41" s="5">
        <v>0</v>
      </c>
      <c r="S41" s="5">
        <v>3</v>
      </c>
      <c r="T41" s="5" t="s">
        <v>311</v>
      </c>
      <c r="U41" s="5"/>
      <c r="V41" t="s">
        <v>404</v>
      </c>
      <c r="W41" s="5"/>
      <c r="X41" s="5" t="s">
        <v>203</v>
      </c>
      <c r="Y41" s="10" t="s">
        <v>345</v>
      </c>
      <c r="Z41" s="5" t="s">
        <v>443</v>
      </c>
      <c r="AA41">
        <f>COUNTIF([1]Sheet1!$Q:$R, "*"&amp; A41&amp;"*")</f>
        <v>1</v>
      </c>
    </row>
    <row r="42" spans="1:27" x14ac:dyDescent="0.2">
      <c r="A42" s="5">
        <v>101025</v>
      </c>
      <c r="B42" s="5" t="s">
        <v>236</v>
      </c>
      <c r="C42" s="5">
        <v>1</v>
      </c>
      <c r="D42" s="5">
        <f>INT(E42/3)</f>
        <v>22</v>
      </c>
      <c r="E42" s="5">
        <v>68</v>
      </c>
      <c r="F42" s="5">
        <v>86</v>
      </c>
      <c r="G42" s="5">
        <v>42</v>
      </c>
      <c r="H42" s="5">
        <v>90</v>
      </c>
      <c r="I42" s="5">
        <v>88</v>
      </c>
      <c r="J42" s="5">
        <f>SUM(E42:I42)</f>
        <v>374</v>
      </c>
      <c r="K42" s="5">
        <v>250</v>
      </c>
      <c r="L42" s="5">
        <v>1</v>
      </c>
      <c r="M42" s="5">
        <v>10</v>
      </c>
      <c r="N42" s="5">
        <v>17</v>
      </c>
      <c r="O42" s="5">
        <v>18</v>
      </c>
      <c r="P42" s="5"/>
      <c r="Q42" s="5">
        <f>MAX(25, INT(POWER(2.2,J42/45)))</f>
        <v>701</v>
      </c>
      <c r="R42" s="5">
        <v>0</v>
      </c>
      <c r="S42" s="5">
        <v>3</v>
      </c>
      <c r="T42" s="5" t="s">
        <v>304</v>
      </c>
      <c r="U42" s="5"/>
      <c r="V42" s="5" t="s">
        <v>338</v>
      </c>
      <c r="W42" s="5"/>
      <c r="X42" s="5" t="s">
        <v>203</v>
      </c>
      <c r="Y42" s="10" t="s">
        <v>346</v>
      </c>
      <c r="Z42" s="5" t="s">
        <v>444</v>
      </c>
      <c r="AA42">
        <f>COUNTIF([1]Sheet1!$Q:$R, "*"&amp; A42&amp;"*")</f>
        <v>1</v>
      </c>
    </row>
    <row r="43" spans="1:27" x14ac:dyDescent="0.2">
      <c r="A43" s="5">
        <v>101026</v>
      </c>
      <c r="B43" s="5" t="s">
        <v>97</v>
      </c>
      <c r="C43" s="5">
        <v>1</v>
      </c>
      <c r="D43" s="5">
        <f>INT(E43/3)</f>
        <v>23</v>
      </c>
      <c r="E43" s="5">
        <v>70</v>
      </c>
      <c r="F43" s="5">
        <v>88</v>
      </c>
      <c r="G43" s="5">
        <v>72</v>
      </c>
      <c r="H43" s="5">
        <v>78</v>
      </c>
      <c r="I43" s="5">
        <v>65</v>
      </c>
      <c r="J43" s="5">
        <f>SUM(E43:I43)</f>
        <v>373</v>
      </c>
      <c r="K43" s="5">
        <v>235</v>
      </c>
      <c r="L43" s="5">
        <v>1</v>
      </c>
      <c r="M43" s="5">
        <v>10</v>
      </c>
      <c r="N43" s="5">
        <v>17</v>
      </c>
      <c r="O43" s="5">
        <v>15</v>
      </c>
      <c r="P43" s="5"/>
      <c r="Q43" s="5">
        <f>MAX(25, INT(POWER(2.2,J43/45)))</f>
        <v>689</v>
      </c>
      <c r="R43" s="5">
        <v>0</v>
      </c>
      <c r="S43" s="5">
        <v>3</v>
      </c>
      <c r="T43" s="5" t="s">
        <v>303</v>
      </c>
      <c r="U43" s="5"/>
      <c r="V43" s="5" t="s">
        <v>274</v>
      </c>
      <c r="W43" s="5"/>
      <c r="X43" s="5" t="s">
        <v>197</v>
      </c>
      <c r="Y43" s="10" t="s">
        <v>77</v>
      </c>
      <c r="Z43" s="5" t="s">
        <v>445</v>
      </c>
      <c r="AA43">
        <f>COUNTIF([1]Sheet1!$Q:$R, "*"&amp; A43&amp;"*")</f>
        <v>1</v>
      </c>
    </row>
    <row r="44" spans="1:27" x14ac:dyDescent="0.2">
      <c r="A44" s="5">
        <v>101027</v>
      </c>
      <c r="B44" s="5" t="s">
        <v>98</v>
      </c>
      <c r="C44" s="5">
        <v>1</v>
      </c>
      <c r="D44" s="5">
        <f>INT(E44/3)</f>
        <v>22</v>
      </c>
      <c r="E44" s="5">
        <v>67</v>
      </c>
      <c r="F44" s="5">
        <v>85</v>
      </c>
      <c r="G44" s="5">
        <v>65</v>
      </c>
      <c r="H44" s="5">
        <v>88</v>
      </c>
      <c r="I44" s="5">
        <v>83</v>
      </c>
      <c r="J44" s="5">
        <f>SUM(E44:I44)</f>
        <v>388</v>
      </c>
      <c r="K44" s="5">
        <v>280</v>
      </c>
      <c r="L44" s="5">
        <v>1</v>
      </c>
      <c r="M44" s="5">
        <v>10</v>
      </c>
      <c r="N44" s="5">
        <v>17</v>
      </c>
      <c r="O44" s="5">
        <v>15</v>
      </c>
      <c r="P44" s="5"/>
      <c r="Q44" s="5">
        <f>MAX(25, INT(POWER(2.2,J44/45)))</f>
        <v>896</v>
      </c>
      <c r="R44" s="5">
        <v>0</v>
      </c>
      <c r="S44" s="5">
        <v>3</v>
      </c>
      <c r="T44" s="5" t="s">
        <v>305</v>
      </c>
      <c r="U44" s="5"/>
      <c r="V44" s="5" t="s">
        <v>333</v>
      </c>
      <c r="W44" s="5"/>
      <c r="X44" s="5" t="s">
        <v>197</v>
      </c>
      <c r="Y44" s="10" t="s">
        <v>344</v>
      </c>
      <c r="Z44" s="5" t="s">
        <v>446</v>
      </c>
      <c r="AA44">
        <f>COUNTIF([1]Sheet1!$Q:$R, "*"&amp; A44&amp;"*")</f>
        <v>1</v>
      </c>
    </row>
    <row r="45" spans="1:27" x14ac:dyDescent="0.2">
      <c r="A45" s="5">
        <v>101028</v>
      </c>
      <c r="B45" s="5" t="s">
        <v>99</v>
      </c>
      <c r="C45" s="5">
        <v>1</v>
      </c>
      <c r="D45" s="5">
        <f>INT(E45/3)</f>
        <v>27</v>
      </c>
      <c r="E45" s="5">
        <v>83</v>
      </c>
      <c r="F45" s="5">
        <v>75</v>
      </c>
      <c r="G45" s="5">
        <v>78</v>
      </c>
      <c r="H45" s="5">
        <v>72</v>
      </c>
      <c r="I45" s="5">
        <v>75</v>
      </c>
      <c r="J45" s="5">
        <f>SUM(E45:I45)</f>
        <v>383</v>
      </c>
      <c r="K45" s="5">
        <v>300</v>
      </c>
      <c r="L45" s="5">
        <v>1</v>
      </c>
      <c r="M45" s="5">
        <v>10</v>
      </c>
      <c r="N45" s="5">
        <v>17</v>
      </c>
      <c r="O45" s="5"/>
      <c r="P45" s="5"/>
      <c r="Q45" s="5">
        <f>MAX(25, INT(POWER(2.2,J45/45)))</f>
        <v>821</v>
      </c>
      <c r="R45" s="5">
        <v>0</v>
      </c>
      <c r="S45" s="5">
        <v>1</v>
      </c>
      <c r="T45" s="5" t="s">
        <v>299</v>
      </c>
      <c r="U45" s="5"/>
      <c r="V45" s="5" t="s">
        <v>275</v>
      </c>
      <c r="W45" s="5" t="s">
        <v>406</v>
      </c>
      <c r="X45" s="5" t="s">
        <v>194</v>
      </c>
      <c r="Y45" s="10" t="s">
        <v>78</v>
      </c>
      <c r="Z45" s="5" t="s">
        <v>447</v>
      </c>
      <c r="AA45">
        <f>COUNTIF([1]Sheet1!$Q:$R, "*"&amp; A45&amp;"*")</f>
        <v>1</v>
      </c>
    </row>
    <row r="46" spans="1:27" x14ac:dyDescent="0.2">
      <c r="A46" s="5">
        <v>101029</v>
      </c>
      <c r="B46" s="5" t="s">
        <v>100</v>
      </c>
      <c r="C46" s="5">
        <v>1</v>
      </c>
      <c r="D46" s="5">
        <f>INT(E46/3)</f>
        <v>23</v>
      </c>
      <c r="E46" s="5">
        <v>70</v>
      </c>
      <c r="F46" s="5">
        <v>80</v>
      </c>
      <c r="G46" s="5">
        <v>71</v>
      </c>
      <c r="H46" s="5">
        <v>79</v>
      </c>
      <c r="I46" s="5">
        <v>84</v>
      </c>
      <c r="J46" s="5">
        <f>SUM(E46:I46)</f>
        <v>384</v>
      </c>
      <c r="K46" s="5">
        <v>290</v>
      </c>
      <c r="L46" s="5">
        <v>1</v>
      </c>
      <c r="M46" s="5">
        <v>10</v>
      </c>
      <c r="N46" s="5">
        <v>17</v>
      </c>
      <c r="O46" s="5"/>
      <c r="P46" s="5"/>
      <c r="Q46" s="5">
        <f>MAX(25, INT(POWER(2.2,J46/45)))</f>
        <v>835</v>
      </c>
      <c r="R46" s="5">
        <v>0</v>
      </c>
      <c r="S46" s="5">
        <v>1</v>
      </c>
      <c r="T46" s="5" t="s">
        <v>300</v>
      </c>
      <c r="U46" s="5"/>
      <c r="V46" s="5" t="s">
        <v>363</v>
      </c>
      <c r="W46" s="5"/>
      <c r="X46" s="5" t="s">
        <v>194</v>
      </c>
      <c r="Y46" s="10" t="s">
        <v>78</v>
      </c>
      <c r="Z46" s="5" t="s">
        <v>448</v>
      </c>
      <c r="AA46">
        <f>COUNTIF([1]Sheet1!$Q:$R, "*"&amp; A46&amp;"*")</f>
        <v>1</v>
      </c>
    </row>
    <row r="47" spans="1:27" x14ac:dyDescent="0.2">
      <c r="A47" s="5">
        <v>101030</v>
      </c>
      <c r="B47" s="5" t="s">
        <v>101</v>
      </c>
      <c r="C47" s="5">
        <v>1</v>
      </c>
      <c r="D47" s="5">
        <f>INT(E47/3)</f>
        <v>21</v>
      </c>
      <c r="E47" s="5">
        <v>63</v>
      </c>
      <c r="F47" s="5">
        <v>82</v>
      </c>
      <c r="G47" s="5">
        <v>48</v>
      </c>
      <c r="H47" s="5">
        <v>80</v>
      </c>
      <c r="I47" s="5">
        <v>75</v>
      </c>
      <c r="J47" s="5">
        <f>SUM(E47:I47)</f>
        <v>348</v>
      </c>
      <c r="K47" s="5">
        <v>260</v>
      </c>
      <c r="L47" s="5">
        <v>1</v>
      </c>
      <c r="M47" s="5">
        <v>10</v>
      </c>
      <c r="N47" s="5">
        <v>17</v>
      </c>
      <c r="O47" s="5">
        <v>35</v>
      </c>
      <c r="P47" s="5"/>
      <c r="Q47" s="5">
        <f>MAX(25, INT(POWER(2.2,J47/45)))</f>
        <v>444</v>
      </c>
      <c r="R47" s="5">
        <v>0</v>
      </c>
      <c r="S47" s="5">
        <v>3</v>
      </c>
      <c r="T47" s="5" t="s">
        <v>311</v>
      </c>
      <c r="U47" s="5"/>
      <c r="V47" t="s">
        <v>409</v>
      </c>
      <c r="W47" s="5"/>
      <c r="X47" s="5" t="s">
        <v>203</v>
      </c>
      <c r="Y47" s="10" t="s">
        <v>345</v>
      </c>
      <c r="Z47" s="5" t="s">
        <v>449</v>
      </c>
      <c r="AA47">
        <f>COUNTIF([1]Sheet1!$Q:$R, "*"&amp; A47&amp;"*")</f>
        <v>1</v>
      </c>
    </row>
    <row r="48" spans="1:27" x14ac:dyDescent="0.2">
      <c r="A48" s="5">
        <v>101031</v>
      </c>
      <c r="B48" s="5" t="s">
        <v>233</v>
      </c>
      <c r="C48" s="5">
        <v>1</v>
      </c>
      <c r="D48" s="5">
        <f>INT(E48/3)</f>
        <v>22</v>
      </c>
      <c r="E48" s="5">
        <v>68</v>
      </c>
      <c r="F48" s="5">
        <v>93</v>
      </c>
      <c r="G48" s="5">
        <v>60</v>
      </c>
      <c r="H48" s="5">
        <v>87</v>
      </c>
      <c r="I48" s="5">
        <v>86</v>
      </c>
      <c r="J48" s="5">
        <f>SUM(E48:I48)</f>
        <v>394</v>
      </c>
      <c r="K48" s="5">
        <v>270</v>
      </c>
      <c r="L48" s="5">
        <v>1</v>
      </c>
      <c r="M48" s="5">
        <v>10</v>
      </c>
      <c r="N48" s="5">
        <v>17</v>
      </c>
      <c r="O48" s="5">
        <v>18</v>
      </c>
      <c r="P48" s="5"/>
      <c r="Q48" s="5">
        <f>MAX(25, INT(POWER(2.2,J48/45)))</f>
        <v>995</v>
      </c>
      <c r="R48" s="5">
        <v>0</v>
      </c>
      <c r="S48" s="5">
        <v>3</v>
      </c>
      <c r="T48" s="5" t="s">
        <v>304</v>
      </c>
      <c r="U48" s="5"/>
      <c r="V48" s="5" t="s">
        <v>369</v>
      </c>
      <c r="W48" s="5"/>
      <c r="X48" s="5" t="s">
        <v>203</v>
      </c>
      <c r="Y48" s="10" t="s">
        <v>346</v>
      </c>
      <c r="Z48" s="5" t="s">
        <v>450</v>
      </c>
      <c r="AA48">
        <f>COUNTIF([1]Sheet1!$Q:$R, "*"&amp; A48&amp;"*")</f>
        <v>1</v>
      </c>
    </row>
    <row r="49" spans="1:27" x14ac:dyDescent="0.2">
      <c r="A49" s="5">
        <v>101032</v>
      </c>
      <c r="B49" s="5" t="s">
        <v>107</v>
      </c>
      <c r="C49" s="5">
        <v>1</v>
      </c>
      <c r="D49" s="5">
        <f>INT(E49/3)</f>
        <v>19</v>
      </c>
      <c r="E49" s="5">
        <v>58</v>
      </c>
      <c r="F49" s="5">
        <v>86</v>
      </c>
      <c r="G49" s="5">
        <v>34</v>
      </c>
      <c r="H49" s="5">
        <v>85</v>
      </c>
      <c r="I49" s="5">
        <v>70</v>
      </c>
      <c r="J49" s="5">
        <f>SUM(E49:I49)</f>
        <v>333</v>
      </c>
      <c r="K49" s="5">
        <v>190</v>
      </c>
      <c r="L49" s="5">
        <v>1</v>
      </c>
      <c r="M49" s="5">
        <v>10</v>
      </c>
      <c r="N49" s="5">
        <v>17</v>
      </c>
      <c r="O49" s="5">
        <v>13</v>
      </c>
      <c r="P49" s="5">
        <v>2.5</v>
      </c>
      <c r="Q49" s="5">
        <f>MAX(25, INT(POWER(2.2,J49/45)))</f>
        <v>341</v>
      </c>
      <c r="R49" s="5">
        <v>0</v>
      </c>
      <c r="S49" s="5">
        <v>3</v>
      </c>
      <c r="T49" s="5" t="s">
        <v>301</v>
      </c>
      <c r="U49" s="5"/>
      <c r="V49" s="5"/>
      <c r="W49" s="5"/>
      <c r="X49" s="5" t="s">
        <v>196</v>
      </c>
      <c r="Y49" s="10" t="s">
        <v>382</v>
      </c>
      <c r="Z49" s="5" t="s">
        <v>451</v>
      </c>
      <c r="AA49">
        <f>COUNTIF([1]Sheet1!$Q:$R, "*"&amp; A49&amp;"*")</f>
        <v>1</v>
      </c>
    </row>
    <row r="50" spans="1:27" x14ac:dyDescent="0.2">
      <c r="A50" s="5">
        <v>101033</v>
      </c>
      <c r="B50" s="5" t="s">
        <v>117</v>
      </c>
      <c r="C50" s="5">
        <v>1</v>
      </c>
      <c r="D50" s="5">
        <f>INT(E50/3)</f>
        <v>27</v>
      </c>
      <c r="E50" s="5">
        <v>83</v>
      </c>
      <c r="F50" s="5">
        <v>94</v>
      </c>
      <c r="G50" s="5">
        <v>52</v>
      </c>
      <c r="H50" s="5">
        <v>81</v>
      </c>
      <c r="I50" s="5">
        <v>62</v>
      </c>
      <c r="J50" s="5">
        <f>SUM(E50:I50)</f>
        <v>372</v>
      </c>
      <c r="K50" s="5">
        <v>275</v>
      </c>
      <c r="L50" s="5">
        <v>1</v>
      </c>
      <c r="M50" s="5">
        <v>10</v>
      </c>
      <c r="N50" s="5">
        <v>17</v>
      </c>
      <c r="O50" s="5">
        <v>15</v>
      </c>
      <c r="P50" s="5"/>
      <c r="Q50" s="5">
        <f>MAX(25, INT(POWER(2.2,J50/45)))</f>
        <v>677</v>
      </c>
      <c r="R50" s="5">
        <v>0</v>
      </c>
      <c r="S50" s="5">
        <v>3</v>
      </c>
      <c r="T50" s="5" t="s">
        <v>303</v>
      </c>
      <c r="U50" s="5"/>
      <c r="V50" s="12" t="s">
        <v>410</v>
      </c>
      <c r="W50" s="5"/>
      <c r="X50" s="5" t="s">
        <v>197</v>
      </c>
      <c r="Y50" s="10" t="s">
        <v>178</v>
      </c>
      <c r="Z50" s="5" t="s">
        <v>452</v>
      </c>
      <c r="AA50">
        <f>COUNTIF([1]Sheet1!$Q:$R, "*"&amp; A50&amp;"*")</f>
        <v>1</v>
      </c>
    </row>
    <row r="51" spans="1:27" x14ac:dyDescent="0.2">
      <c r="A51" s="5">
        <v>101034</v>
      </c>
      <c r="B51" s="5" t="s">
        <v>119</v>
      </c>
      <c r="C51" s="5">
        <v>1</v>
      </c>
      <c r="D51" s="5">
        <f>INT(E51/3)</f>
        <v>9</v>
      </c>
      <c r="E51" s="5">
        <v>27</v>
      </c>
      <c r="F51" s="5">
        <v>35</v>
      </c>
      <c r="G51" s="5">
        <v>41</v>
      </c>
      <c r="H51" s="5">
        <v>40</v>
      </c>
      <c r="I51" s="5">
        <v>60</v>
      </c>
      <c r="J51" s="5">
        <f>SUM(E51:I51)</f>
        <v>203</v>
      </c>
      <c r="K51" s="5">
        <v>360</v>
      </c>
      <c r="L51" s="5">
        <v>1</v>
      </c>
      <c r="M51" s="5">
        <v>10</v>
      </c>
      <c r="N51" s="5">
        <v>17</v>
      </c>
      <c r="O51" s="5">
        <v>35</v>
      </c>
      <c r="P51" s="5"/>
      <c r="Q51" s="5">
        <f>MAX(25, INT(POWER(2.2,J51/45)))</f>
        <v>35</v>
      </c>
      <c r="R51" s="5">
        <v>0</v>
      </c>
      <c r="S51" s="5">
        <v>3</v>
      </c>
      <c r="T51" s="5" t="s">
        <v>311</v>
      </c>
      <c r="U51" s="5"/>
      <c r="V51" s="5" t="s">
        <v>374</v>
      </c>
      <c r="X51" s="5" t="s">
        <v>321</v>
      </c>
      <c r="Y51" s="10" t="s">
        <v>345</v>
      </c>
      <c r="Z51" s="5" t="s">
        <v>453</v>
      </c>
      <c r="AA51">
        <f>COUNTIF([1]Sheet1!$Q:$R, "*"&amp; A51&amp;"*")</f>
        <v>1</v>
      </c>
    </row>
    <row r="52" spans="1:27" x14ac:dyDescent="0.2">
      <c r="A52" s="5">
        <v>101035</v>
      </c>
      <c r="B52" s="5" t="s">
        <v>121</v>
      </c>
      <c r="C52" s="5">
        <v>1</v>
      </c>
      <c r="D52" s="5">
        <f>INT(E52/3)</f>
        <v>25</v>
      </c>
      <c r="E52" s="5">
        <v>77</v>
      </c>
      <c r="F52" s="5">
        <v>43</v>
      </c>
      <c r="G52" s="5">
        <v>85</v>
      </c>
      <c r="H52" s="5">
        <v>50</v>
      </c>
      <c r="I52" s="5">
        <v>78</v>
      </c>
      <c r="J52" s="5">
        <f>SUM(E52:I52)</f>
        <v>333</v>
      </c>
      <c r="K52" s="5">
        <v>290</v>
      </c>
      <c r="L52" s="5">
        <v>1</v>
      </c>
      <c r="M52" s="5">
        <v>10</v>
      </c>
      <c r="N52" s="5">
        <v>17</v>
      </c>
      <c r="O52" s="5"/>
      <c r="P52" s="5"/>
      <c r="Q52" s="5">
        <f>MAX(25, INT(POWER(2.2,J52/45)))</f>
        <v>341</v>
      </c>
      <c r="R52" s="5">
        <v>0</v>
      </c>
      <c r="S52" s="5">
        <v>1</v>
      </c>
      <c r="T52" s="5" t="s">
        <v>309</v>
      </c>
      <c r="U52" s="5"/>
      <c r="V52" s="5" t="s">
        <v>272</v>
      </c>
      <c r="W52" s="5"/>
      <c r="X52" s="5" t="s">
        <v>194</v>
      </c>
      <c r="Y52" s="10" t="s">
        <v>78</v>
      </c>
      <c r="Z52" s="5" t="s">
        <v>454</v>
      </c>
      <c r="AA52">
        <f>COUNTIF([1]Sheet1!$Q:$R, "*"&amp; A52&amp;"*")</f>
        <v>1</v>
      </c>
    </row>
    <row r="53" spans="1:27" x14ac:dyDescent="0.2">
      <c r="A53" s="5">
        <v>101036</v>
      </c>
      <c r="B53" s="5" t="s">
        <v>147</v>
      </c>
      <c r="C53" s="5">
        <v>1</v>
      </c>
      <c r="D53" s="5">
        <f>INT(E53/3)</f>
        <v>25</v>
      </c>
      <c r="E53" s="5">
        <v>75</v>
      </c>
      <c r="F53" s="5">
        <v>82</v>
      </c>
      <c r="G53" s="5">
        <v>59</v>
      </c>
      <c r="H53" s="5">
        <v>83</v>
      </c>
      <c r="I53" s="5">
        <v>80</v>
      </c>
      <c r="J53" s="5">
        <f>SUM(E53:I53)</f>
        <v>379</v>
      </c>
      <c r="K53" s="5">
        <v>310</v>
      </c>
      <c r="L53" s="5">
        <v>1</v>
      </c>
      <c r="M53" s="5">
        <v>10</v>
      </c>
      <c r="N53" s="5">
        <v>17</v>
      </c>
      <c r="O53" s="5"/>
      <c r="P53" s="5"/>
      <c r="Q53" s="5">
        <f>MAX(25, INT(POWER(2.2,J53/45)))</f>
        <v>765</v>
      </c>
      <c r="R53" s="5">
        <v>0</v>
      </c>
      <c r="S53" s="5">
        <v>1</v>
      </c>
      <c r="T53" s="5" t="s">
        <v>300</v>
      </c>
      <c r="U53" s="5"/>
      <c r="V53" t="s">
        <v>394</v>
      </c>
      <c r="W53" s="5"/>
      <c r="X53" s="5" t="s">
        <v>322</v>
      </c>
      <c r="Y53" s="10" t="s">
        <v>78</v>
      </c>
      <c r="Z53" s="5" t="s">
        <v>455</v>
      </c>
      <c r="AA53">
        <f>COUNTIF([1]Sheet1!$Q:$R, "*"&amp; A53&amp;"*")</f>
        <v>1</v>
      </c>
    </row>
    <row r="54" spans="1:27" x14ac:dyDescent="0.2">
      <c r="A54" s="5">
        <v>101037</v>
      </c>
      <c r="B54" s="5" t="s">
        <v>148</v>
      </c>
      <c r="C54" s="5">
        <v>1</v>
      </c>
      <c r="D54" s="5">
        <f>INT(E54/3)</f>
        <v>25</v>
      </c>
      <c r="E54" s="5">
        <v>75</v>
      </c>
      <c r="F54" s="5">
        <v>68</v>
      </c>
      <c r="G54" s="5">
        <v>73</v>
      </c>
      <c r="H54" s="5">
        <v>70</v>
      </c>
      <c r="I54" s="5">
        <v>45</v>
      </c>
      <c r="J54" s="5">
        <f>SUM(E54:I54)</f>
        <v>331</v>
      </c>
      <c r="K54" s="5">
        <v>250</v>
      </c>
      <c r="L54" s="5">
        <v>1</v>
      </c>
      <c r="M54" s="5">
        <v>10</v>
      </c>
      <c r="N54" s="5">
        <v>17</v>
      </c>
      <c r="O54" s="5">
        <v>22</v>
      </c>
      <c r="P54" s="5">
        <v>1.5</v>
      </c>
      <c r="Q54" s="5">
        <f>MAX(25, INT(POWER(2.2,J54/45)))</f>
        <v>330</v>
      </c>
      <c r="R54" s="5">
        <v>0</v>
      </c>
      <c r="S54" s="5">
        <v>3</v>
      </c>
      <c r="T54" s="5" t="s">
        <v>306</v>
      </c>
      <c r="U54" s="5"/>
      <c r="V54" s="5" t="s">
        <v>398</v>
      </c>
      <c r="W54" s="5"/>
      <c r="X54" s="5" t="s">
        <v>196</v>
      </c>
      <c r="Y54" s="10" t="s">
        <v>175</v>
      </c>
      <c r="Z54" s="5" t="s">
        <v>456</v>
      </c>
      <c r="AA54">
        <f>COUNTIF([1]Sheet1!$Q:$R, "*"&amp; A54&amp;"*")</f>
        <v>1</v>
      </c>
    </row>
    <row r="55" spans="1:27" x14ac:dyDescent="0.2">
      <c r="A55" s="5">
        <v>101038</v>
      </c>
      <c r="B55" s="5" t="s">
        <v>149</v>
      </c>
      <c r="C55" s="5">
        <v>1</v>
      </c>
      <c r="D55" s="5">
        <f>INT(E55/3)</f>
        <v>25</v>
      </c>
      <c r="E55" s="5">
        <v>75</v>
      </c>
      <c r="F55" s="5">
        <v>44</v>
      </c>
      <c r="G55" s="5">
        <v>79</v>
      </c>
      <c r="H55" s="5">
        <v>55</v>
      </c>
      <c r="I55" s="5">
        <v>50</v>
      </c>
      <c r="J55" s="5">
        <f>SUM(E55:I55)</f>
        <v>303</v>
      </c>
      <c r="K55" s="5">
        <v>220</v>
      </c>
      <c r="L55" s="5">
        <v>1</v>
      </c>
      <c r="M55" s="5">
        <v>10</v>
      </c>
      <c r="N55" s="5">
        <v>17</v>
      </c>
      <c r="O55" s="5">
        <v>30</v>
      </c>
      <c r="P55" s="5">
        <v>1.5</v>
      </c>
      <c r="Q55" s="5">
        <f>MAX(25, INT(POWER(2.2,J55/45)))</f>
        <v>202</v>
      </c>
      <c r="R55" s="5">
        <v>0</v>
      </c>
      <c r="S55" s="5">
        <v>3</v>
      </c>
      <c r="T55" s="5" t="s">
        <v>302</v>
      </c>
      <c r="U55" s="5"/>
      <c r="V55" s="5"/>
      <c r="W55" s="5"/>
      <c r="X55" s="5" t="s">
        <v>196</v>
      </c>
      <c r="Y55" s="10" t="s">
        <v>352</v>
      </c>
      <c r="Z55" s="5" t="s">
        <v>457</v>
      </c>
      <c r="AA55">
        <f>COUNTIF([1]Sheet1!$Q:$R, "*"&amp; A55&amp;"*")</f>
        <v>1</v>
      </c>
    </row>
    <row r="56" spans="1:27" x14ac:dyDescent="0.2">
      <c r="A56" s="5">
        <v>101039</v>
      </c>
      <c r="B56" s="5" t="s">
        <v>255</v>
      </c>
      <c r="C56" s="5">
        <v>1</v>
      </c>
      <c r="D56" s="5">
        <f>INT(E56/3)</f>
        <v>26</v>
      </c>
      <c r="E56" s="5">
        <v>79</v>
      </c>
      <c r="F56" s="5">
        <v>79</v>
      </c>
      <c r="G56" s="5">
        <v>65</v>
      </c>
      <c r="H56" s="5">
        <v>81</v>
      </c>
      <c r="I56" s="5">
        <v>78</v>
      </c>
      <c r="J56" s="5">
        <f>SUM(E56:I56)</f>
        <v>382</v>
      </c>
      <c r="K56" s="5">
        <v>315</v>
      </c>
      <c r="L56" s="5">
        <v>1</v>
      </c>
      <c r="M56" s="5">
        <v>10</v>
      </c>
      <c r="N56" s="5">
        <v>17</v>
      </c>
      <c r="O56" s="5"/>
      <c r="P56" s="5"/>
      <c r="Q56" s="5">
        <f>MAX(25, INT(POWER(2.2,J56/45)))</f>
        <v>806</v>
      </c>
      <c r="R56" s="5">
        <v>0</v>
      </c>
      <c r="S56" s="5">
        <v>1</v>
      </c>
      <c r="T56" s="5" t="s">
        <v>299</v>
      </c>
      <c r="U56" s="5"/>
      <c r="V56" s="5" t="s">
        <v>363</v>
      </c>
      <c r="W56" s="5"/>
      <c r="X56" s="5" t="s">
        <v>194</v>
      </c>
      <c r="Y56" s="10" t="s">
        <v>78</v>
      </c>
      <c r="Z56" s="5" t="s">
        <v>458</v>
      </c>
      <c r="AA56">
        <f>COUNTIF([1]Sheet1!$Q:$R, "*"&amp; A56&amp;"*")</f>
        <v>1</v>
      </c>
    </row>
    <row r="57" spans="1:27" x14ac:dyDescent="0.2">
      <c r="A57" s="5">
        <v>101040</v>
      </c>
      <c r="B57" s="5" t="s">
        <v>266</v>
      </c>
      <c r="C57" s="5">
        <v>1</v>
      </c>
      <c r="D57" s="5">
        <f>INT(E57/3)</f>
        <v>11</v>
      </c>
      <c r="E57" s="5">
        <v>33</v>
      </c>
      <c r="F57" s="5">
        <v>78</v>
      </c>
      <c r="G57" s="5">
        <v>24</v>
      </c>
      <c r="H57" s="5">
        <v>85</v>
      </c>
      <c r="I57" s="5">
        <v>65</v>
      </c>
      <c r="J57" s="5">
        <f>SUM(E57:I57)</f>
        <v>285</v>
      </c>
      <c r="K57" s="5">
        <v>290</v>
      </c>
      <c r="L57" s="5">
        <v>1</v>
      </c>
      <c r="M57" s="5">
        <v>10</v>
      </c>
      <c r="N57" s="5">
        <v>17</v>
      </c>
      <c r="O57" s="5">
        <v>15</v>
      </c>
      <c r="P57" s="5"/>
      <c r="Q57" s="5">
        <f>MAX(25, INT(POWER(2.2,J57/45)))</f>
        <v>147</v>
      </c>
      <c r="R57" s="5">
        <v>0</v>
      </c>
      <c r="S57" s="5">
        <v>3</v>
      </c>
      <c r="T57" s="5" t="s">
        <v>305</v>
      </c>
      <c r="U57" s="5"/>
      <c r="V57" s="5" t="s">
        <v>403</v>
      </c>
      <c r="W57" s="5"/>
      <c r="X57" s="5" t="s">
        <v>197</v>
      </c>
      <c r="Y57" s="10" t="s">
        <v>344</v>
      </c>
      <c r="Z57" s="5" t="s">
        <v>459</v>
      </c>
      <c r="AA57">
        <f>COUNTIF([1]Sheet1!$Q:$R, "*"&amp; A57&amp;"*")</f>
        <v>1</v>
      </c>
    </row>
    <row r="58" spans="1:27" x14ac:dyDescent="0.2">
      <c r="A58" s="5">
        <v>102001</v>
      </c>
      <c r="B58" s="5" t="s">
        <v>44</v>
      </c>
      <c r="C58" s="5">
        <v>1</v>
      </c>
      <c r="D58" s="5">
        <f>INT(E58/3)</f>
        <v>24</v>
      </c>
      <c r="E58" s="5">
        <v>72</v>
      </c>
      <c r="F58" s="5">
        <v>98</v>
      </c>
      <c r="G58" s="5">
        <v>43</v>
      </c>
      <c r="H58" s="5">
        <v>78</v>
      </c>
      <c r="I58" s="5">
        <v>82</v>
      </c>
      <c r="J58" s="5">
        <f>SUM(E58:I58)</f>
        <v>373</v>
      </c>
      <c r="K58" s="5">
        <v>270</v>
      </c>
      <c r="L58" s="5">
        <v>2</v>
      </c>
      <c r="M58" s="5">
        <v>10</v>
      </c>
      <c r="N58" s="5">
        <v>17</v>
      </c>
      <c r="O58" s="5">
        <v>15</v>
      </c>
      <c r="P58" s="5"/>
      <c r="Q58" s="5">
        <f>MAX(25, INT(POWER(2.2,J58/45)))</f>
        <v>689</v>
      </c>
      <c r="R58" s="5">
        <v>0</v>
      </c>
      <c r="S58" s="5">
        <v>3</v>
      </c>
      <c r="T58" s="5" t="s">
        <v>303</v>
      </c>
      <c r="U58" s="5"/>
      <c r="V58" s="5" t="s">
        <v>284</v>
      </c>
      <c r="W58" s="5"/>
      <c r="X58" s="5" t="s">
        <v>197</v>
      </c>
      <c r="Y58" s="10" t="s">
        <v>170</v>
      </c>
      <c r="Z58" s="5" t="s">
        <v>460</v>
      </c>
      <c r="AA58">
        <f>COUNTIF([1]Sheet1!$Q:$R, "*"&amp; A58&amp;"*")</f>
        <v>1</v>
      </c>
    </row>
    <row r="59" spans="1:27" x14ac:dyDescent="0.2">
      <c r="A59" s="5">
        <v>102002</v>
      </c>
      <c r="B59" s="5" t="s">
        <v>169</v>
      </c>
      <c r="C59" s="5">
        <v>1</v>
      </c>
      <c r="D59" s="5">
        <f>INT(E59/3)</f>
        <v>30</v>
      </c>
      <c r="E59" s="5">
        <v>91</v>
      </c>
      <c r="F59" s="5">
        <v>63</v>
      </c>
      <c r="G59" s="5">
        <v>91</v>
      </c>
      <c r="H59" s="5">
        <v>75</v>
      </c>
      <c r="I59" s="5">
        <v>85</v>
      </c>
      <c r="J59" s="5">
        <f>SUM(E59:I59)</f>
        <v>405</v>
      </c>
      <c r="K59" s="5">
        <v>305</v>
      </c>
      <c r="L59" s="5">
        <v>2</v>
      </c>
      <c r="M59" s="5">
        <v>10</v>
      </c>
      <c r="N59" s="5">
        <v>17</v>
      </c>
      <c r="O59" s="5"/>
      <c r="P59" s="5"/>
      <c r="Q59" s="5">
        <f>MAX(25, INT(POWER(2.2,J59/45)))</f>
        <v>1207</v>
      </c>
      <c r="R59" s="5">
        <v>0</v>
      </c>
      <c r="S59" s="5">
        <v>1</v>
      </c>
      <c r="T59" s="5" t="s">
        <v>298</v>
      </c>
      <c r="U59" s="5"/>
      <c r="V59" s="5" t="s">
        <v>285</v>
      </c>
      <c r="W59" s="5"/>
      <c r="X59" s="5" t="s">
        <v>195</v>
      </c>
      <c r="Y59" s="10" t="s">
        <v>78</v>
      </c>
      <c r="Z59" s="5" t="s">
        <v>461</v>
      </c>
      <c r="AA59">
        <f>COUNTIF([1]Sheet1!$Q:$R, "*"&amp; A59&amp;"*")</f>
        <v>1</v>
      </c>
    </row>
    <row r="60" spans="1:27" x14ac:dyDescent="0.2">
      <c r="A60" s="5">
        <v>102003</v>
      </c>
      <c r="B60" s="5" t="s">
        <v>93</v>
      </c>
      <c r="C60" s="5">
        <v>1</v>
      </c>
      <c r="D60" s="5">
        <f>INT(E60/3)</f>
        <v>22</v>
      </c>
      <c r="E60" s="5">
        <v>67</v>
      </c>
      <c r="F60" s="5">
        <v>96</v>
      </c>
      <c r="G60" s="5">
        <v>47</v>
      </c>
      <c r="H60" s="5">
        <v>98</v>
      </c>
      <c r="I60" s="5">
        <v>95</v>
      </c>
      <c r="J60" s="5">
        <f>SUM(E60:I60)</f>
        <v>403</v>
      </c>
      <c r="K60" s="5">
        <v>285</v>
      </c>
      <c r="L60" s="5">
        <v>2</v>
      </c>
      <c r="M60" s="5">
        <v>10</v>
      </c>
      <c r="N60" s="5">
        <v>17</v>
      </c>
      <c r="O60" s="5">
        <v>18</v>
      </c>
      <c r="P60" s="5"/>
      <c r="Q60" s="5">
        <f>MAX(25, INT(POWER(2.2,J60/45)))</f>
        <v>1165</v>
      </c>
      <c r="R60" s="5">
        <v>0</v>
      </c>
      <c r="S60" s="5">
        <v>3</v>
      </c>
      <c r="T60" s="5" t="s">
        <v>304</v>
      </c>
      <c r="U60" s="5"/>
      <c r="V60" s="5" t="s">
        <v>286</v>
      </c>
      <c r="W60" s="5"/>
      <c r="X60" s="5" t="s">
        <v>203</v>
      </c>
      <c r="Y60" s="10" t="s">
        <v>176</v>
      </c>
      <c r="Z60" s="5" t="s">
        <v>462</v>
      </c>
      <c r="AA60">
        <f>COUNTIF([1]Sheet1!$Q:$R, "*"&amp; A60&amp;"*")</f>
        <v>1</v>
      </c>
    </row>
    <row r="61" spans="1:27" x14ac:dyDescent="0.2">
      <c r="A61" s="5">
        <v>102004</v>
      </c>
      <c r="B61" s="5" t="s">
        <v>28</v>
      </c>
      <c r="C61" s="5">
        <v>1</v>
      </c>
      <c r="D61" s="5">
        <f>INT(E61/3)</f>
        <v>31</v>
      </c>
      <c r="E61" s="5">
        <v>95</v>
      </c>
      <c r="F61" s="5">
        <v>78</v>
      </c>
      <c r="G61" s="5">
        <v>92</v>
      </c>
      <c r="H61" s="5">
        <v>80</v>
      </c>
      <c r="I61" s="5">
        <v>88</v>
      </c>
      <c r="J61" s="5">
        <f>SUM(E61:I61)</f>
        <v>433</v>
      </c>
      <c r="K61" s="5">
        <v>295</v>
      </c>
      <c r="L61" s="5">
        <v>2</v>
      </c>
      <c r="M61" s="5">
        <v>10</v>
      </c>
      <c r="N61" s="5">
        <v>17</v>
      </c>
      <c r="O61" s="5"/>
      <c r="P61" s="5"/>
      <c r="Q61" s="5">
        <f>MAX(25, INT(POWER(2.2,J61/45)))</f>
        <v>1971</v>
      </c>
      <c r="R61" s="5">
        <v>0</v>
      </c>
      <c r="S61" s="5">
        <v>1</v>
      </c>
      <c r="T61" s="5" t="s">
        <v>310</v>
      </c>
      <c r="U61" s="5"/>
      <c r="V61" s="5" t="s">
        <v>358</v>
      </c>
      <c r="W61" s="5"/>
      <c r="X61" s="5" t="s">
        <v>194</v>
      </c>
      <c r="Y61" s="10" t="s">
        <v>78</v>
      </c>
      <c r="Z61" s="5" t="s">
        <v>463</v>
      </c>
      <c r="AA61">
        <f>COUNTIF([1]Sheet1!$Q:$R, "*"&amp; A61&amp;"*")</f>
        <v>1</v>
      </c>
    </row>
    <row r="62" spans="1:27" x14ac:dyDescent="0.2">
      <c r="A62" s="5">
        <v>102005</v>
      </c>
      <c r="B62" s="5" t="s">
        <v>246</v>
      </c>
      <c r="C62" s="5">
        <v>1</v>
      </c>
      <c r="D62" s="5">
        <f>INT(E62/3)</f>
        <v>21</v>
      </c>
      <c r="E62" s="5">
        <v>65</v>
      </c>
      <c r="F62" s="5">
        <v>44</v>
      </c>
      <c r="G62" s="5">
        <v>96</v>
      </c>
      <c r="H62" s="5">
        <v>40</v>
      </c>
      <c r="I62" s="5">
        <v>70</v>
      </c>
      <c r="J62" s="5">
        <f>SUM(E62:I62)</f>
        <v>315</v>
      </c>
      <c r="K62" s="5">
        <v>390</v>
      </c>
      <c r="L62" s="5">
        <v>2</v>
      </c>
      <c r="M62" s="5">
        <v>10</v>
      </c>
      <c r="N62" s="5">
        <v>17</v>
      </c>
      <c r="O62" s="5"/>
      <c r="P62" s="5"/>
      <c r="Q62" s="5">
        <f>MAX(25, INT(POWER(2.2,J62/45)))</f>
        <v>249</v>
      </c>
      <c r="R62" s="5">
        <v>0</v>
      </c>
      <c r="S62" s="5">
        <v>1</v>
      </c>
      <c r="T62" s="5" t="s">
        <v>297</v>
      </c>
      <c r="U62" s="5"/>
      <c r="V62" s="5" t="s">
        <v>383</v>
      </c>
      <c r="W62" s="5"/>
      <c r="X62" s="5" t="s">
        <v>323</v>
      </c>
      <c r="Y62" s="10" t="s">
        <v>78</v>
      </c>
      <c r="Z62" s="5" t="s">
        <v>464</v>
      </c>
      <c r="AA62">
        <f>COUNTIF([1]Sheet1!$Q:$R, "*"&amp; A62&amp;"*")</f>
        <v>1</v>
      </c>
    </row>
    <row r="63" spans="1:27" x14ac:dyDescent="0.2">
      <c r="A63" s="5">
        <v>102006</v>
      </c>
      <c r="B63" s="5" t="s">
        <v>31</v>
      </c>
      <c r="C63" s="5">
        <v>1</v>
      </c>
      <c r="D63" s="5">
        <f>INT(E63/3)</f>
        <v>30</v>
      </c>
      <c r="E63" s="5">
        <v>90</v>
      </c>
      <c r="F63" s="5">
        <v>68</v>
      </c>
      <c r="G63" s="5">
        <v>89</v>
      </c>
      <c r="H63" s="5">
        <v>72</v>
      </c>
      <c r="I63" s="5">
        <v>80</v>
      </c>
      <c r="J63" s="5">
        <f>SUM(E63:I63)</f>
        <v>399</v>
      </c>
      <c r="K63" s="5">
        <v>230</v>
      </c>
      <c r="L63" s="5">
        <v>2</v>
      </c>
      <c r="M63" s="5">
        <v>10</v>
      </c>
      <c r="N63" s="5">
        <v>17</v>
      </c>
      <c r="O63" s="5">
        <v>22</v>
      </c>
      <c r="P63" s="5">
        <v>1.5</v>
      </c>
      <c r="Q63" s="5">
        <f>MAX(25, INT(POWER(2.2,J63/45)))</f>
        <v>1086</v>
      </c>
      <c r="R63" s="5">
        <v>0</v>
      </c>
      <c r="S63" s="5">
        <v>3</v>
      </c>
      <c r="T63" s="5" t="s">
        <v>306</v>
      </c>
      <c r="U63" s="5"/>
      <c r="V63" s="5" t="s">
        <v>278</v>
      </c>
      <c r="W63" s="5"/>
      <c r="X63" s="5" t="s">
        <v>196</v>
      </c>
      <c r="Y63" s="10" t="s">
        <v>175</v>
      </c>
      <c r="Z63" s="5" t="s">
        <v>465</v>
      </c>
      <c r="AA63">
        <f>COUNTIF([1]Sheet1!$Q:$R, "*"&amp; A63&amp;"*")</f>
        <v>1</v>
      </c>
    </row>
    <row r="64" spans="1:27" x14ac:dyDescent="0.2">
      <c r="A64" s="5">
        <v>102007</v>
      </c>
      <c r="B64" s="5" t="s">
        <v>40</v>
      </c>
      <c r="C64" s="5">
        <v>1</v>
      </c>
      <c r="D64" s="5">
        <f>INT(E64/3)</f>
        <v>19</v>
      </c>
      <c r="E64" s="5">
        <v>59</v>
      </c>
      <c r="F64" s="5">
        <v>43</v>
      </c>
      <c r="G64" s="5">
        <v>95</v>
      </c>
      <c r="H64" s="5">
        <v>38</v>
      </c>
      <c r="I64" s="5">
        <v>78</v>
      </c>
      <c r="J64" s="5">
        <f>SUM(E64:I64)</f>
        <v>313</v>
      </c>
      <c r="K64" s="5">
        <v>415</v>
      </c>
      <c r="L64" s="5">
        <v>2</v>
      </c>
      <c r="M64" s="5">
        <v>10</v>
      </c>
      <c r="N64" s="5">
        <v>17</v>
      </c>
      <c r="O64" s="5"/>
      <c r="P64" s="5"/>
      <c r="Q64" s="5">
        <f>MAX(25, INT(POWER(2.2,J64/45)))</f>
        <v>240</v>
      </c>
      <c r="R64" s="5">
        <v>0</v>
      </c>
      <c r="S64" s="5">
        <v>1</v>
      </c>
      <c r="T64" s="5" t="s">
        <v>297</v>
      </c>
      <c r="U64" s="5"/>
      <c r="V64" s="5" t="s">
        <v>279</v>
      </c>
      <c r="W64" s="5"/>
      <c r="X64" s="5" t="s">
        <v>194</v>
      </c>
      <c r="Y64" s="10" t="s">
        <v>78</v>
      </c>
      <c r="Z64" s="5" t="s">
        <v>466</v>
      </c>
      <c r="AA64">
        <f>COUNTIF([1]Sheet1!$Q:$R, "*"&amp; A64&amp;"*")</f>
        <v>1</v>
      </c>
    </row>
    <row r="65" spans="1:27" x14ac:dyDescent="0.2">
      <c r="A65" s="5">
        <v>102008</v>
      </c>
      <c r="B65" s="5" t="s">
        <v>168</v>
      </c>
      <c r="C65" s="5">
        <v>1</v>
      </c>
      <c r="D65" s="5">
        <f>INT(E65/3)</f>
        <v>29</v>
      </c>
      <c r="E65" s="5">
        <v>89</v>
      </c>
      <c r="F65" s="5">
        <v>75</v>
      </c>
      <c r="G65" s="5">
        <v>90</v>
      </c>
      <c r="H65" s="5">
        <v>76</v>
      </c>
      <c r="I65" s="5">
        <v>80</v>
      </c>
      <c r="J65" s="5">
        <f>SUM(E65:I65)</f>
        <v>410</v>
      </c>
      <c r="K65" s="5">
        <v>300</v>
      </c>
      <c r="L65" s="5">
        <v>2</v>
      </c>
      <c r="M65" s="5">
        <v>10</v>
      </c>
      <c r="N65" s="5">
        <v>17</v>
      </c>
      <c r="O65" s="5"/>
      <c r="P65" s="5"/>
      <c r="Q65" s="5">
        <f>MAX(25, INT(POWER(2.2,J65/45)))</f>
        <v>1317</v>
      </c>
      <c r="R65" s="5">
        <v>0</v>
      </c>
      <c r="S65" s="5">
        <v>1</v>
      </c>
      <c r="T65" s="5" t="s">
        <v>298</v>
      </c>
      <c r="U65" s="5"/>
      <c r="V65" s="5" t="s">
        <v>360</v>
      </c>
      <c r="W65" s="5"/>
      <c r="X65" s="5" t="s">
        <v>204</v>
      </c>
      <c r="Y65" s="10" t="s">
        <v>79</v>
      </c>
      <c r="Z65" s="5" t="s">
        <v>467</v>
      </c>
      <c r="AA65">
        <f>COUNTIF([1]Sheet1!$Q:$R, "*"&amp; A65&amp;"*")</f>
        <v>1</v>
      </c>
    </row>
    <row r="66" spans="1:27" x14ac:dyDescent="0.2">
      <c r="A66" s="5">
        <v>102009</v>
      </c>
      <c r="B66" s="5" t="s">
        <v>58</v>
      </c>
      <c r="C66" s="5">
        <v>1</v>
      </c>
      <c r="D66" s="5">
        <f>INT(E66/3)</f>
        <v>30</v>
      </c>
      <c r="E66" s="5">
        <v>90</v>
      </c>
      <c r="F66" s="5">
        <v>77</v>
      </c>
      <c r="G66" s="5">
        <v>91</v>
      </c>
      <c r="H66" s="5">
        <v>78</v>
      </c>
      <c r="I66" s="5">
        <v>82</v>
      </c>
      <c r="J66" s="5">
        <f>SUM(E66:I66)</f>
        <v>418</v>
      </c>
      <c r="K66" s="5">
        <v>215</v>
      </c>
      <c r="L66" s="5">
        <v>2</v>
      </c>
      <c r="M66" s="5">
        <v>10</v>
      </c>
      <c r="N66" s="5">
        <v>17</v>
      </c>
      <c r="O66" s="5">
        <v>22</v>
      </c>
      <c r="P66" s="5">
        <v>1.5</v>
      </c>
      <c r="Q66" s="5">
        <f>MAX(25, INT(POWER(2.2,J66/45)))</f>
        <v>1516</v>
      </c>
      <c r="R66" s="5">
        <v>0</v>
      </c>
      <c r="S66" s="5">
        <v>3</v>
      </c>
      <c r="T66" s="5" t="s">
        <v>306</v>
      </c>
      <c r="U66" s="5"/>
      <c r="V66" s="5" t="s">
        <v>312</v>
      </c>
      <c r="W66" s="5"/>
      <c r="X66" s="5" t="s">
        <v>196</v>
      </c>
      <c r="Y66" s="10" t="s">
        <v>395</v>
      </c>
      <c r="Z66" s="5" t="s">
        <v>468</v>
      </c>
      <c r="AA66">
        <f>COUNTIF([1]Sheet1!$Q:$R, "*"&amp; A66&amp;"*")</f>
        <v>1</v>
      </c>
    </row>
    <row r="67" spans="1:27" x14ac:dyDescent="0.2">
      <c r="A67" s="5">
        <v>102010</v>
      </c>
      <c r="B67" s="5" t="s">
        <v>94</v>
      </c>
      <c r="C67" s="5">
        <v>1</v>
      </c>
      <c r="D67" s="5">
        <f>INT(E67/3)</f>
        <v>21</v>
      </c>
      <c r="E67" s="5">
        <v>63</v>
      </c>
      <c r="F67" s="5">
        <v>92</v>
      </c>
      <c r="G67" s="5">
        <v>53</v>
      </c>
      <c r="H67" s="5">
        <v>85</v>
      </c>
      <c r="I67" s="5">
        <v>80</v>
      </c>
      <c r="J67" s="5">
        <f>SUM(E67:I67)</f>
        <v>373</v>
      </c>
      <c r="K67" s="5">
        <v>270</v>
      </c>
      <c r="L67" s="5">
        <v>2</v>
      </c>
      <c r="M67" s="5">
        <v>10</v>
      </c>
      <c r="N67" s="5">
        <v>17</v>
      </c>
      <c r="O67" s="5">
        <v>15</v>
      </c>
      <c r="P67" s="5"/>
      <c r="Q67" s="5">
        <f>MAX(25, INT(POWER(2.2,J67/45)))</f>
        <v>689</v>
      </c>
      <c r="R67" s="5">
        <v>0</v>
      </c>
      <c r="S67" s="5">
        <v>3</v>
      </c>
      <c r="T67" s="5" t="s">
        <v>303</v>
      </c>
      <c r="U67" s="5"/>
      <c r="V67" s="5" t="s">
        <v>274</v>
      </c>
      <c r="W67" s="5" t="s">
        <v>391</v>
      </c>
      <c r="X67" s="5" t="s">
        <v>197</v>
      </c>
      <c r="Y67" s="10" t="s">
        <v>177</v>
      </c>
      <c r="Z67" s="5" t="s">
        <v>469</v>
      </c>
      <c r="AA67">
        <f>COUNTIF([1]Sheet1!$Q:$R, "*"&amp; A67&amp;"*")</f>
        <v>1</v>
      </c>
    </row>
    <row r="68" spans="1:27" x14ac:dyDescent="0.2">
      <c r="A68" s="5">
        <v>102011</v>
      </c>
      <c r="B68" s="5" t="s">
        <v>30</v>
      </c>
      <c r="C68" s="5">
        <v>1</v>
      </c>
      <c r="D68" s="5">
        <f>INT(E68/3)</f>
        <v>26</v>
      </c>
      <c r="E68" s="5">
        <v>80</v>
      </c>
      <c r="F68" s="5">
        <v>72</v>
      </c>
      <c r="G68" s="5">
        <v>75</v>
      </c>
      <c r="H68" s="5">
        <v>78</v>
      </c>
      <c r="I68" s="5">
        <v>65</v>
      </c>
      <c r="J68" s="5">
        <f>SUM(E68:I68)</f>
        <v>370</v>
      </c>
      <c r="K68" s="5">
        <v>280</v>
      </c>
      <c r="L68" s="5">
        <v>2</v>
      </c>
      <c r="M68" s="5">
        <v>10</v>
      </c>
      <c r="N68" s="5">
        <v>17</v>
      </c>
      <c r="O68" s="5"/>
      <c r="P68" s="5"/>
      <c r="Q68" s="5">
        <f>MAX(25, INT(POWER(2.2,J68/45)))</f>
        <v>653</v>
      </c>
      <c r="R68" s="5">
        <v>0</v>
      </c>
      <c r="S68" s="5">
        <v>1</v>
      </c>
      <c r="T68" s="5" t="s">
        <v>299</v>
      </c>
      <c r="U68" s="5"/>
      <c r="V68" s="5" t="s">
        <v>277</v>
      </c>
      <c r="W68" s="5" t="s">
        <v>402</v>
      </c>
      <c r="X68" s="5" t="s">
        <v>194</v>
      </c>
      <c r="Y68" s="10" t="s">
        <v>78</v>
      </c>
      <c r="Z68" s="5" t="s">
        <v>470</v>
      </c>
      <c r="AA68">
        <f>COUNTIF([1]Sheet1!$Q:$R, "*"&amp; A68&amp;"*")</f>
        <v>1</v>
      </c>
    </row>
    <row r="69" spans="1:27" x14ac:dyDescent="0.2">
      <c r="A69" s="5">
        <v>102012</v>
      </c>
      <c r="B69" s="5" t="s">
        <v>33</v>
      </c>
      <c r="C69" s="5">
        <v>1</v>
      </c>
      <c r="D69" s="5">
        <f>INT(E69/3)</f>
        <v>30</v>
      </c>
      <c r="E69" s="5">
        <v>90</v>
      </c>
      <c r="F69" s="5">
        <v>62</v>
      </c>
      <c r="G69" s="5">
        <v>86</v>
      </c>
      <c r="H69" s="5">
        <v>82</v>
      </c>
      <c r="I69" s="5">
        <v>84</v>
      </c>
      <c r="J69" s="5">
        <f>SUM(E69:I69)</f>
        <v>404</v>
      </c>
      <c r="K69" s="5">
        <v>300</v>
      </c>
      <c r="L69" s="5">
        <v>2</v>
      </c>
      <c r="M69" s="5">
        <v>10</v>
      </c>
      <c r="N69" s="5">
        <v>17</v>
      </c>
      <c r="O69" s="5"/>
      <c r="P69" s="5"/>
      <c r="Q69" s="5">
        <f>MAX(25, INT(POWER(2.2,J69/45)))</f>
        <v>1186</v>
      </c>
      <c r="R69" s="5">
        <v>0</v>
      </c>
      <c r="S69" s="5">
        <v>1</v>
      </c>
      <c r="T69" s="5" t="s">
        <v>300</v>
      </c>
      <c r="U69" s="5"/>
      <c r="V69" s="5" t="s">
        <v>277</v>
      </c>
      <c r="W69" s="5"/>
      <c r="X69" s="5" t="s">
        <v>195</v>
      </c>
      <c r="Y69" s="10" t="s">
        <v>78</v>
      </c>
      <c r="Z69" s="5" t="s">
        <v>471</v>
      </c>
      <c r="AA69">
        <f>COUNTIF([1]Sheet1!$Q:$R, "*"&amp; A69&amp;"*")</f>
        <v>1</v>
      </c>
    </row>
    <row r="70" spans="1:27" x14ac:dyDescent="0.2">
      <c r="A70" s="5">
        <v>102013</v>
      </c>
      <c r="B70" s="5" t="s">
        <v>39</v>
      </c>
      <c r="C70" s="5">
        <v>1</v>
      </c>
      <c r="D70" s="5">
        <f>INT(E70/3)</f>
        <v>27</v>
      </c>
      <c r="E70" s="5">
        <v>82</v>
      </c>
      <c r="F70" s="5">
        <v>51</v>
      </c>
      <c r="G70" s="5">
        <v>83</v>
      </c>
      <c r="H70" s="5">
        <v>65</v>
      </c>
      <c r="I70" s="5">
        <v>60</v>
      </c>
      <c r="J70" s="5">
        <f>SUM(E70:I70)</f>
        <v>341</v>
      </c>
      <c r="K70" s="5">
        <v>310</v>
      </c>
      <c r="L70" s="5">
        <v>2</v>
      </c>
      <c r="M70" s="5">
        <v>10</v>
      </c>
      <c r="N70" s="5">
        <v>17</v>
      </c>
      <c r="O70" s="5"/>
      <c r="P70" s="5"/>
      <c r="Q70" s="5">
        <f>MAX(25, INT(POWER(2.2,J70/45)))</f>
        <v>393</v>
      </c>
      <c r="R70" s="5">
        <v>0</v>
      </c>
      <c r="S70" s="5">
        <v>1</v>
      </c>
      <c r="T70" s="5" t="s">
        <v>300</v>
      </c>
      <c r="U70" s="5"/>
      <c r="V70" s="5" t="s">
        <v>281</v>
      </c>
      <c r="W70" s="5"/>
      <c r="X70" s="5" t="s">
        <v>195</v>
      </c>
      <c r="Y70" s="10" t="s">
        <v>78</v>
      </c>
      <c r="Z70" s="5" t="s">
        <v>472</v>
      </c>
      <c r="AA70">
        <f>COUNTIF([1]Sheet1!$Q:$R, "*"&amp; A70&amp;"*")</f>
        <v>1</v>
      </c>
    </row>
    <row r="71" spans="1:27" x14ac:dyDescent="0.2">
      <c r="A71" s="5">
        <v>102014</v>
      </c>
      <c r="B71" s="5" t="s">
        <v>245</v>
      </c>
      <c r="C71" s="5">
        <v>1</v>
      </c>
      <c r="D71" s="5">
        <f>INT(E71/3)</f>
        <v>29</v>
      </c>
      <c r="E71" s="5">
        <v>89</v>
      </c>
      <c r="F71" s="5">
        <v>74</v>
      </c>
      <c r="G71" s="5">
        <v>94</v>
      </c>
      <c r="H71" s="5">
        <v>70</v>
      </c>
      <c r="I71" s="5">
        <v>83</v>
      </c>
      <c r="J71" s="5">
        <f>SUM(E71:I71)</f>
        <v>410</v>
      </c>
      <c r="K71" s="5">
        <v>280</v>
      </c>
      <c r="L71" s="5">
        <v>2</v>
      </c>
      <c r="M71" s="5">
        <v>10</v>
      </c>
      <c r="N71" s="5">
        <v>17</v>
      </c>
      <c r="O71" s="5"/>
      <c r="P71" s="5"/>
      <c r="Q71" s="5">
        <f>MAX(25, INT(POWER(2.2,J71/45)))</f>
        <v>1317</v>
      </c>
      <c r="R71" s="5">
        <v>0</v>
      </c>
      <c r="S71" s="5">
        <v>1</v>
      </c>
      <c r="T71" s="5" t="s">
        <v>300</v>
      </c>
      <c r="U71" s="5"/>
      <c r="V71" s="5" t="s">
        <v>316</v>
      </c>
      <c r="W71" s="5"/>
      <c r="X71" s="5" t="s">
        <v>195</v>
      </c>
      <c r="Y71" s="10" t="s">
        <v>78</v>
      </c>
      <c r="Z71" s="5" t="s">
        <v>473</v>
      </c>
      <c r="AA71">
        <f>COUNTIF([1]Sheet1!$Q:$R, "*"&amp; A71&amp;"*")</f>
        <v>1</v>
      </c>
    </row>
    <row r="72" spans="1:27" x14ac:dyDescent="0.2">
      <c r="A72" s="5">
        <v>102015</v>
      </c>
      <c r="B72" s="5" t="s">
        <v>42</v>
      </c>
      <c r="C72" s="5">
        <v>1</v>
      </c>
      <c r="D72" s="5">
        <f>INT(E72/3)</f>
        <v>26</v>
      </c>
      <c r="E72" s="5">
        <v>80</v>
      </c>
      <c r="F72" s="5">
        <v>55</v>
      </c>
      <c r="G72" s="5">
        <v>84</v>
      </c>
      <c r="H72" s="5">
        <v>68</v>
      </c>
      <c r="I72" s="5">
        <v>75</v>
      </c>
      <c r="J72" s="5">
        <f>SUM(E72:I72)</f>
        <v>362</v>
      </c>
      <c r="K72" s="5">
        <v>280</v>
      </c>
      <c r="L72" s="5">
        <v>2</v>
      </c>
      <c r="M72" s="5">
        <v>10</v>
      </c>
      <c r="N72" s="5">
        <v>17</v>
      </c>
      <c r="O72" s="5"/>
      <c r="P72" s="5"/>
      <c r="Q72" s="5">
        <f>MAX(25, INT(POWER(2.2,J72/45)))</f>
        <v>568</v>
      </c>
      <c r="R72" s="5">
        <v>0</v>
      </c>
      <c r="S72" s="5">
        <v>1</v>
      </c>
      <c r="T72" s="5" t="s">
        <v>299</v>
      </c>
      <c r="U72" s="5"/>
      <c r="V72" s="5" t="s">
        <v>340</v>
      </c>
      <c r="W72" s="5"/>
      <c r="X72" s="5" t="s">
        <v>195</v>
      </c>
      <c r="Y72" s="10" t="s">
        <v>78</v>
      </c>
      <c r="Z72" s="5" t="s">
        <v>474</v>
      </c>
      <c r="AA72">
        <f>COUNTIF([1]Sheet1!$Q:$R, "*"&amp; A72&amp;"*")</f>
        <v>1</v>
      </c>
    </row>
    <row r="73" spans="1:27" x14ac:dyDescent="0.2">
      <c r="A73" s="5">
        <v>102016</v>
      </c>
      <c r="B73" s="5" t="s">
        <v>248</v>
      </c>
      <c r="C73" s="5">
        <v>1</v>
      </c>
      <c r="D73" s="5">
        <f>INT(E73/3)</f>
        <v>26</v>
      </c>
      <c r="E73" s="5">
        <v>80</v>
      </c>
      <c r="F73" s="5">
        <v>65</v>
      </c>
      <c r="G73" s="5">
        <v>82</v>
      </c>
      <c r="H73" s="5">
        <v>75</v>
      </c>
      <c r="I73" s="5">
        <v>78</v>
      </c>
      <c r="J73" s="5">
        <f>SUM(E73:I73)</f>
        <v>380</v>
      </c>
      <c r="K73" s="5">
        <v>335</v>
      </c>
      <c r="L73" s="5">
        <v>2</v>
      </c>
      <c r="M73" s="5">
        <v>10</v>
      </c>
      <c r="N73" s="5">
        <v>17</v>
      </c>
      <c r="O73" s="5"/>
      <c r="P73" s="5"/>
      <c r="Q73" s="5">
        <f>MAX(25, INT(POWER(2.2,J73/45)))</f>
        <v>779</v>
      </c>
      <c r="R73" s="5">
        <v>0</v>
      </c>
      <c r="S73" s="5">
        <v>1</v>
      </c>
      <c r="T73" s="5" t="s">
        <v>299</v>
      </c>
      <c r="U73" s="5"/>
      <c r="V73" s="5" t="s">
        <v>364</v>
      </c>
      <c r="W73" s="5" t="s">
        <v>380</v>
      </c>
      <c r="X73" s="5" t="s">
        <v>324</v>
      </c>
      <c r="Y73" s="10" t="s">
        <v>78</v>
      </c>
      <c r="Z73" s="5" t="s">
        <v>475</v>
      </c>
      <c r="AA73">
        <f>COUNTIF([1]Sheet1!$Q:$R, "*"&amp; A73&amp;"*")</f>
        <v>1</v>
      </c>
    </row>
    <row r="74" spans="1:27" x14ac:dyDescent="0.2">
      <c r="A74" s="5">
        <v>102017</v>
      </c>
      <c r="B74" s="5" t="s">
        <v>45</v>
      </c>
      <c r="C74" s="5">
        <v>1</v>
      </c>
      <c r="D74" s="5">
        <f>INT(E74/3)</f>
        <v>24</v>
      </c>
      <c r="E74" s="5">
        <v>73</v>
      </c>
      <c r="F74" s="5">
        <v>72</v>
      </c>
      <c r="G74" s="5">
        <v>73</v>
      </c>
      <c r="H74" s="5">
        <v>70</v>
      </c>
      <c r="I74" s="5">
        <v>72</v>
      </c>
      <c r="J74" s="5">
        <f>SUM(E74:I74)</f>
        <v>360</v>
      </c>
      <c r="K74" s="5">
        <v>250</v>
      </c>
      <c r="L74" s="5">
        <v>2</v>
      </c>
      <c r="M74" s="5">
        <v>10</v>
      </c>
      <c r="N74" s="5">
        <v>17</v>
      </c>
      <c r="O74" s="5">
        <v>22</v>
      </c>
      <c r="P74" s="5">
        <v>1.5</v>
      </c>
      <c r="Q74" s="5">
        <f>MAX(25, INT(POWER(2.2,J74/45)))</f>
        <v>548</v>
      </c>
      <c r="R74" s="5">
        <v>0</v>
      </c>
      <c r="S74" s="5">
        <v>3</v>
      </c>
      <c r="T74" s="5" t="s">
        <v>306</v>
      </c>
      <c r="U74" s="5"/>
      <c r="V74" s="5"/>
      <c r="W74" s="5"/>
      <c r="X74" s="5" t="s">
        <v>196</v>
      </c>
      <c r="Y74" s="10" t="s">
        <v>175</v>
      </c>
      <c r="Z74" s="5" t="s">
        <v>476</v>
      </c>
      <c r="AA74">
        <f>COUNTIF([1]Sheet1!$Q:$R, "*"&amp; A74&amp;"*")</f>
        <v>1</v>
      </c>
    </row>
    <row r="75" spans="1:27" x14ac:dyDescent="0.2">
      <c r="A75" s="5">
        <v>102018</v>
      </c>
      <c r="B75" s="5" t="s">
        <v>61</v>
      </c>
      <c r="C75" s="5">
        <v>1</v>
      </c>
      <c r="D75" s="5">
        <f>INT(E75/3)</f>
        <v>32</v>
      </c>
      <c r="E75" s="5">
        <v>98</v>
      </c>
      <c r="F75" s="5">
        <v>98</v>
      </c>
      <c r="G75" s="5">
        <v>63</v>
      </c>
      <c r="H75" s="5">
        <v>95</v>
      </c>
      <c r="I75" s="5">
        <v>82</v>
      </c>
      <c r="J75" s="5">
        <f>SUM(E75:I75)</f>
        <v>436</v>
      </c>
      <c r="K75" s="5">
        <v>220</v>
      </c>
      <c r="L75" s="5">
        <v>2</v>
      </c>
      <c r="M75" s="5">
        <v>10</v>
      </c>
      <c r="N75" s="5">
        <v>17</v>
      </c>
      <c r="O75" s="5">
        <v>15</v>
      </c>
      <c r="P75" s="5"/>
      <c r="Q75" s="5">
        <f>MAX(25, INT(POWER(2.2,J75/45)))</f>
        <v>2078</v>
      </c>
      <c r="R75" s="5">
        <v>0</v>
      </c>
      <c r="S75" s="5">
        <v>3</v>
      </c>
      <c r="T75" s="5" t="s">
        <v>303</v>
      </c>
      <c r="U75" s="5"/>
      <c r="V75" s="5" t="s">
        <v>287</v>
      </c>
      <c r="W75" s="5"/>
      <c r="X75" s="5" t="s">
        <v>197</v>
      </c>
      <c r="Y75" s="10" t="s">
        <v>173</v>
      </c>
      <c r="Z75" s="5" t="s">
        <v>477</v>
      </c>
      <c r="AA75">
        <f>COUNTIF([1]Sheet1!$Q:$R, "*"&amp; A75&amp;"*")</f>
        <v>1</v>
      </c>
    </row>
    <row r="76" spans="1:27" x14ac:dyDescent="0.2">
      <c r="A76" s="5">
        <v>102019</v>
      </c>
      <c r="B76" s="5" t="s">
        <v>83</v>
      </c>
      <c r="C76" s="5">
        <v>1</v>
      </c>
      <c r="D76" s="5">
        <f>INT(E76/3)</f>
        <v>27</v>
      </c>
      <c r="E76" s="5">
        <v>82</v>
      </c>
      <c r="F76" s="5">
        <v>69</v>
      </c>
      <c r="G76" s="5">
        <v>77</v>
      </c>
      <c r="H76" s="5">
        <v>72</v>
      </c>
      <c r="I76" s="5">
        <v>75</v>
      </c>
      <c r="J76" s="5">
        <f>SUM(E76:I76)</f>
        <v>375</v>
      </c>
      <c r="K76" s="5">
        <v>320</v>
      </c>
      <c r="L76" s="5">
        <v>2</v>
      </c>
      <c r="M76" s="5">
        <v>10</v>
      </c>
      <c r="N76" s="5">
        <v>17</v>
      </c>
      <c r="O76" s="5"/>
      <c r="P76" s="5"/>
      <c r="Q76" s="5">
        <f>MAX(25, INT(POWER(2.2,J76/45)))</f>
        <v>713</v>
      </c>
      <c r="R76" s="5">
        <v>0</v>
      </c>
      <c r="S76" s="5">
        <v>1</v>
      </c>
      <c r="T76" s="5" t="s">
        <v>299</v>
      </c>
      <c r="U76" s="5"/>
      <c r="V76" s="5" t="s">
        <v>312</v>
      </c>
      <c r="W76" s="5"/>
      <c r="X76" s="5" t="s">
        <v>320</v>
      </c>
      <c r="Y76" s="10" t="s">
        <v>78</v>
      </c>
      <c r="Z76" s="5" t="s">
        <v>478</v>
      </c>
      <c r="AA76">
        <f>COUNTIF([1]Sheet1!$Q:$R, "*"&amp; A76&amp;"*")</f>
        <v>1</v>
      </c>
    </row>
    <row r="77" spans="1:27" x14ac:dyDescent="0.2">
      <c r="A77" s="5">
        <v>102020</v>
      </c>
      <c r="B77" s="5" t="s">
        <v>84</v>
      </c>
      <c r="C77" s="5">
        <v>1</v>
      </c>
      <c r="D77" s="5">
        <f>INT(E77/3)</f>
        <v>29</v>
      </c>
      <c r="E77" s="5">
        <v>87</v>
      </c>
      <c r="F77" s="5">
        <v>76</v>
      </c>
      <c r="G77" s="5">
        <v>79</v>
      </c>
      <c r="H77" s="5">
        <v>78</v>
      </c>
      <c r="I77" s="5">
        <v>80</v>
      </c>
      <c r="J77" s="5">
        <f>SUM(E77:I77)</f>
        <v>400</v>
      </c>
      <c r="K77" s="5">
        <v>300</v>
      </c>
      <c r="L77" s="5">
        <v>2</v>
      </c>
      <c r="M77" s="5">
        <v>10</v>
      </c>
      <c r="N77" s="5">
        <v>17</v>
      </c>
      <c r="O77" s="5"/>
      <c r="P77" s="5"/>
      <c r="Q77" s="5">
        <f>MAX(25, INT(POWER(2.2,J77/45)))</f>
        <v>1106</v>
      </c>
      <c r="R77" s="5">
        <v>0</v>
      </c>
      <c r="S77" s="5">
        <v>1</v>
      </c>
      <c r="T77" s="5" t="s">
        <v>300</v>
      </c>
      <c r="U77" s="5"/>
      <c r="V77" s="5" t="s">
        <v>405</v>
      </c>
      <c r="W77" s="5"/>
      <c r="X77" s="5" t="s">
        <v>194</v>
      </c>
      <c r="Y77" s="10" t="s">
        <v>78</v>
      </c>
      <c r="Z77" s="5" t="s">
        <v>479</v>
      </c>
      <c r="AA77">
        <f>COUNTIF([1]Sheet1!$Q:$R, "*"&amp; A77&amp;"*")</f>
        <v>1</v>
      </c>
    </row>
    <row r="78" spans="1:27" x14ac:dyDescent="0.2">
      <c r="A78" s="5">
        <v>102021</v>
      </c>
      <c r="B78" s="5" t="s">
        <v>85</v>
      </c>
      <c r="C78" s="5">
        <v>1</v>
      </c>
      <c r="D78" s="5">
        <f>INT(E78/3)</f>
        <v>22</v>
      </c>
      <c r="E78" s="5">
        <v>68</v>
      </c>
      <c r="F78" s="5">
        <v>38</v>
      </c>
      <c r="G78" s="5">
        <v>88</v>
      </c>
      <c r="H78" s="5">
        <v>50</v>
      </c>
      <c r="I78" s="5">
        <v>65</v>
      </c>
      <c r="J78" s="5">
        <f>SUM(E78:I78)</f>
        <v>309</v>
      </c>
      <c r="K78" s="5">
        <v>380</v>
      </c>
      <c r="L78" s="5">
        <v>2</v>
      </c>
      <c r="M78" s="5">
        <v>10</v>
      </c>
      <c r="N78" s="5">
        <v>17</v>
      </c>
      <c r="O78" s="5"/>
      <c r="P78" s="5"/>
      <c r="Q78" s="5">
        <f>MAX(25, INT(POWER(2.2,J78/45)))</f>
        <v>224</v>
      </c>
      <c r="R78" s="5">
        <v>0</v>
      </c>
      <c r="S78" s="5">
        <v>1</v>
      </c>
      <c r="T78" s="5" t="s">
        <v>300</v>
      </c>
      <c r="U78" s="5"/>
      <c r="V78" s="5" t="s">
        <v>337</v>
      </c>
      <c r="W78" s="5"/>
      <c r="X78" s="5" t="s">
        <v>198</v>
      </c>
      <c r="Y78" s="10" t="s">
        <v>78</v>
      </c>
      <c r="Z78" s="5" t="s">
        <v>480</v>
      </c>
      <c r="AA78">
        <f>COUNTIF([1]Sheet1!$Q:$R, "*"&amp; A78&amp;"*")</f>
        <v>1</v>
      </c>
    </row>
    <row r="79" spans="1:27" x14ac:dyDescent="0.2">
      <c r="A79" s="5">
        <v>102022</v>
      </c>
      <c r="B79" s="5" t="s">
        <v>86</v>
      </c>
      <c r="C79" s="5">
        <v>1</v>
      </c>
      <c r="D79" s="5">
        <f>INT(E79/3)</f>
        <v>21</v>
      </c>
      <c r="E79" s="5">
        <v>63</v>
      </c>
      <c r="F79" s="5">
        <v>90</v>
      </c>
      <c r="G79" s="5">
        <v>54</v>
      </c>
      <c r="H79" s="5">
        <v>83</v>
      </c>
      <c r="I79" s="5">
        <v>70</v>
      </c>
      <c r="J79" s="5">
        <f>SUM(E79:I79)</f>
        <v>360</v>
      </c>
      <c r="K79" s="5">
        <v>240</v>
      </c>
      <c r="L79" s="5">
        <v>2</v>
      </c>
      <c r="M79" s="5">
        <v>10</v>
      </c>
      <c r="N79" s="5">
        <v>17</v>
      </c>
      <c r="O79" s="5">
        <v>15</v>
      </c>
      <c r="P79" s="5"/>
      <c r="Q79" s="5">
        <f>MAX(25, INT(POWER(2.2,J79/45)))</f>
        <v>548</v>
      </c>
      <c r="R79" s="5">
        <v>0</v>
      </c>
      <c r="S79" s="5">
        <v>3</v>
      </c>
      <c r="T79" s="5" t="s">
        <v>303</v>
      </c>
      <c r="U79" s="5"/>
      <c r="V79" s="5" t="s">
        <v>371</v>
      </c>
      <c r="W79" s="5" t="s">
        <v>381</v>
      </c>
      <c r="X79" s="5" t="s">
        <v>197</v>
      </c>
      <c r="Y79" s="10" t="s">
        <v>77</v>
      </c>
      <c r="Z79" s="5" t="s">
        <v>481</v>
      </c>
      <c r="AA79">
        <f>COUNTIF([1]Sheet1!$Q:$R, "*"&amp; A79&amp;"*")</f>
        <v>1</v>
      </c>
    </row>
    <row r="80" spans="1:27" x14ac:dyDescent="0.2">
      <c r="A80" s="5">
        <v>102023</v>
      </c>
      <c r="B80" s="5" t="s">
        <v>87</v>
      </c>
      <c r="C80" s="5">
        <v>1</v>
      </c>
      <c r="D80" s="5">
        <f>INT(E80/3)</f>
        <v>20</v>
      </c>
      <c r="E80" s="5">
        <v>60</v>
      </c>
      <c r="F80" s="5">
        <v>88</v>
      </c>
      <c r="G80" s="5">
        <v>57</v>
      </c>
      <c r="H80" s="5">
        <v>75</v>
      </c>
      <c r="I80" s="5">
        <v>45</v>
      </c>
      <c r="J80" s="5">
        <f>SUM(E80:I80)</f>
        <v>325</v>
      </c>
      <c r="K80" s="5">
        <v>260</v>
      </c>
      <c r="L80" s="5">
        <v>2</v>
      </c>
      <c r="M80" s="5">
        <v>10</v>
      </c>
      <c r="N80" s="5">
        <v>17</v>
      </c>
      <c r="O80" s="5">
        <v>18</v>
      </c>
      <c r="P80" s="5"/>
      <c r="Q80" s="5">
        <f>MAX(25, INT(POWER(2.2,J80/45)))</f>
        <v>297</v>
      </c>
      <c r="R80" s="5">
        <v>0</v>
      </c>
      <c r="S80" s="5">
        <v>3</v>
      </c>
      <c r="T80" s="5" t="s">
        <v>304</v>
      </c>
      <c r="U80" s="5"/>
      <c r="V80" s="5" t="s">
        <v>388</v>
      </c>
      <c r="X80" s="5" t="s">
        <v>203</v>
      </c>
      <c r="Y80" s="10" t="s">
        <v>346</v>
      </c>
      <c r="Z80" s="5" t="s">
        <v>482</v>
      </c>
      <c r="AA80">
        <f>COUNTIF([1]Sheet1!$Q:$R, "*"&amp; A80&amp;"*")</f>
        <v>1</v>
      </c>
    </row>
    <row r="81" spans="1:27" x14ac:dyDescent="0.2">
      <c r="A81" s="5">
        <v>102024</v>
      </c>
      <c r="B81" s="5" t="s">
        <v>241</v>
      </c>
      <c r="C81" s="5">
        <v>1</v>
      </c>
      <c r="D81" s="5">
        <f>INT(E81/3)</f>
        <v>23</v>
      </c>
      <c r="E81" s="5">
        <v>71</v>
      </c>
      <c r="F81" s="5">
        <v>65</v>
      </c>
      <c r="G81" s="5">
        <v>77</v>
      </c>
      <c r="H81" s="5">
        <v>68</v>
      </c>
      <c r="I81" s="5">
        <v>70</v>
      </c>
      <c r="J81" s="5">
        <f>SUM(E81:I81)</f>
        <v>351</v>
      </c>
      <c r="K81" s="5">
        <v>330</v>
      </c>
      <c r="L81" s="5">
        <v>2</v>
      </c>
      <c r="M81" s="5">
        <v>10</v>
      </c>
      <c r="N81" s="5">
        <v>17</v>
      </c>
      <c r="O81" s="5"/>
      <c r="P81" s="5"/>
      <c r="Q81" s="5">
        <f>MAX(25, INT(POWER(2.2,J81/45)))</f>
        <v>468</v>
      </c>
      <c r="R81" s="5">
        <v>0</v>
      </c>
      <c r="S81" s="5">
        <v>1</v>
      </c>
      <c r="T81" s="5" t="s">
        <v>309</v>
      </c>
      <c r="U81" s="5"/>
      <c r="V81" s="5" t="s">
        <v>365</v>
      </c>
      <c r="X81" s="5" t="s">
        <v>319</v>
      </c>
      <c r="Y81" s="10" t="s">
        <v>78</v>
      </c>
      <c r="Z81" s="5" t="s">
        <v>483</v>
      </c>
      <c r="AA81">
        <f>COUNTIF([1]Sheet1!$Q:$R, "*"&amp; A81&amp;"*")</f>
        <v>1</v>
      </c>
    </row>
    <row r="82" spans="1:27" x14ac:dyDescent="0.2">
      <c r="A82" s="5">
        <v>102025</v>
      </c>
      <c r="B82" s="5" t="s">
        <v>242</v>
      </c>
      <c r="C82" s="5">
        <v>1</v>
      </c>
      <c r="D82" s="5">
        <f>INT(E82/3)</f>
        <v>25</v>
      </c>
      <c r="E82" s="5">
        <v>76</v>
      </c>
      <c r="F82" s="5">
        <v>64</v>
      </c>
      <c r="G82" s="5">
        <v>91</v>
      </c>
      <c r="H82" s="5">
        <v>65</v>
      </c>
      <c r="I82" s="5">
        <v>75</v>
      </c>
      <c r="J82" s="5">
        <f>SUM(E82:I82)</f>
        <v>371</v>
      </c>
      <c r="K82" s="5">
        <v>240</v>
      </c>
      <c r="L82" s="5">
        <v>2</v>
      </c>
      <c r="M82" s="5">
        <v>10</v>
      </c>
      <c r="N82" s="5">
        <v>17</v>
      </c>
      <c r="O82" s="5">
        <v>22</v>
      </c>
      <c r="P82" s="5">
        <v>1.5</v>
      </c>
      <c r="Q82" s="5">
        <f>MAX(25, INT(POWER(2.2,J82/45)))</f>
        <v>665</v>
      </c>
      <c r="R82" s="5">
        <v>0</v>
      </c>
      <c r="S82" s="5">
        <v>3</v>
      </c>
      <c r="T82" s="5" t="s">
        <v>306</v>
      </c>
      <c r="U82" s="5"/>
      <c r="V82" t="s">
        <v>356</v>
      </c>
      <c r="X82" s="5" t="s">
        <v>196</v>
      </c>
      <c r="Y82" s="10" t="s">
        <v>175</v>
      </c>
      <c r="Z82" s="5" t="s">
        <v>484</v>
      </c>
      <c r="AA82">
        <f>COUNTIF([1]Sheet1!$Q:$R, "*"&amp; A82&amp;"*")</f>
        <v>1</v>
      </c>
    </row>
    <row r="83" spans="1:27" x14ac:dyDescent="0.2">
      <c r="A83" s="5">
        <v>102026</v>
      </c>
      <c r="B83" s="5" t="s">
        <v>89</v>
      </c>
      <c r="C83" s="5">
        <v>1</v>
      </c>
      <c r="D83" s="5">
        <f>INT(E83/3)</f>
        <v>27</v>
      </c>
      <c r="E83" s="5">
        <v>82</v>
      </c>
      <c r="F83" s="5">
        <v>70</v>
      </c>
      <c r="G83" s="5">
        <v>74</v>
      </c>
      <c r="H83" s="5">
        <v>79</v>
      </c>
      <c r="I83" s="5">
        <v>80</v>
      </c>
      <c r="J83" s="5">
        <f>SUM(E83:I83)</f>
        <v>385</v>
      </c>
      <c r="K83" s="5">
        <v>310</v>
      </c>
      <c r="L83" s="5">
        <v>2</v>
      </c>
      <c r="M83" s="5">
        <v>10</v>
      </c>
      <c r="N83" s="5">
        <v>17</v>
      </c>
      <c r="O83" s="5"/>
      <c r="P83" s="5"/>
      <c r="Q83" s="5">
        <f>MAX(25, INT(POWER(2.2,J83/45)))</f>
        <v>850</v>
      </c>
      <c r="R83" s="5">
        <v>0</v>
      </c>
      <c r="S83" s="5">
        <v>1</v>
      </c>
      <c r="T83" s="5" t="s">
        <v>299</v>
      </c>
      <c r="U83" s="5"/>
      <c r="V83" s="5" t="s">
        <v>363</v>
      </c>
      <c r="X83" s="5" t="s">
        <v>325</v>
      </c>
      <c r="Y83" s="10" t="s">
        <v>78</v>
      </c>
      <c r="Z83" s="5" t="s">
        <v>485</v>
      </c>
      <c r="AA83">
        <f>COUNTIF([1]Sheet1!$Q:$R, "*"&amp; A83&amp;"*")</f>
        <v>1</v>
      </c>
    </row>
    <row r="84" spans="1:27" x14ac:dyDescent="0.2">
      <c r="A84" s="5">
        <v>102027</v>
      </c>
      <c r="B84" s="5" t="s">
        <v>90</v>
      </c>
      <c r="C84" s="5">
        <v>1</v>
      </c>
      <c r="D84" s="5">
        <f>INT(E84/3)</f>
        <v>21</v>
      </c>
      <c r="E84" s="5">
        <v>65</v>
      </c>
      <c r="F84" s="5">
        <v>84</v>
      </c>
      <c r="G84" s="5">
        <v>45</v>
      </c>
      <c r="H84" s="5">
        <v>90</v>
      </c>
      <c r="I84" s="5">
        <v>75</v>
      </c>
      <c r="J84" s="5">
        <f>SUM(E84:I84)</f>
        <v>359</v>
      </c>
      <c r="K84" s="5">
        <v>270</v>
      </c>
      <c r="L84" s="5">
        <v>2</v>
      </c>
      <c r="M84" s="5">
        <v>10</v>
      </c>
      <c r="N84" s="5">
        <v>17</v>
      </c>
      <c r="O84" s="5">
        <v>15</v>
      </c>
      <c r="P84" s="5"/>
      <c r="Q84" s="5">
        <f>MAX(25, INT(POWER(2.2,J84/45)))</f>
        <v>539</v>
      </c>
      <c r="R84" s="5">
        <v>0</v>
      </c>
      <c r="S84" s="5">
        <v>3</v>
      </c>
      <c r="T84" s="5" t="s">
        <v>305</v>
      </c>
      <c r="U84" s="5"/>
      <c r="V84" s="5" t="s">
        <v>338</v>
      </c>
      <c r="W84" s="5" t="s">
        <v>391</v>
      </c>
      <c r="X84" s="5" t="s">
        <v>203</v>
      </c>
      <c r="Y84" s="10" t="s">
        <v>344</v>
      </c>
      <c r="Z84" s="5" t="s">
        <v>486</v>
      </c>
      <c r="AA84">
        <f>COUNTIF([1]Sheet1!$Q:$R, "*"&amp; A84&amp;"*")</f>
        <v>1</v>
      </c>
    </row>
    <row r="85" spans="1:27" x14ac:dyDescent="0.2">
      <c r="A85" s="5">
        <v>102028</v>
      </c>
      <c r="B85" s="5" t="s">
        <v>91</v>
      </c>
      <c r="C85" s="5">
        <v>1</v>
      </c>
      <c r="D85" s="5">
        <f>INT(E85/3)</f>
        <v>24</v>
      </c>
      <c r="E85" s="5">
        <v>74</v>
      </c>
      <c r="F85" s="5">
        <v>71</v>
      </c>
      <c r="G85" s="5">
        <v>73</v>
      </c>
      <c r="H85" s="5">
        <v>78</v>
      </c>
      <c r="I85" s="5">
        <v>80</v>
      </c>
      <c r="J85" s="5">
        <f>SUM(E85:I85)</f>
        <v>376</v>
      </c>
      <c r="K85" s="5">
        <v>300</v>
      </c>
      <c r="L85" s="5">
        <v>2</v>
      </c>
      <c r="M85" s="5">
        <v>10</v>
      </c>
      <c r="N85" s="5">
        <v>17</v>
      </c>
      <c r="O85" s="5"/>
      <c r="P85" s="5"/>
      <c r="Q85" s="5">
        <f>MAX(25, INT(POWER(2.2,J85/45)))</f>
        <v>726</v>
      </c>
      <c r="R85" s="5">
        <v>0</v>
      </c>
      <c r="S85" s="5">
        <v>1</v>
      </c>
      <c r="T85" s="5" t="s">
        <v>300</v>
      </c>
      <c r="U85" s="5"/>
      <c r="V85" s="5" t="s">
        <v>275</v>
      </c>
      <c r="W85" s="5" t="s">
        <v>405</v>
      </c>
      <c r="X85" s="5" t="s">
        <v>194</v>
      </c>
      <c r="Y85" s="10" t="s">
        <v>78</v>
      </c>
      <c r="Z85" s="5" t="s">
        <v>487</v>
      </c>
      <c r="AA85">
        <f>COUNTIF([1]Sheet1!$Q:$R, "*"&amp; A85&amp;"*")</f>
        <v>1</v>
      </c>
    </row>
    <row r="86" spans="1:27" x14ac:dyDescent="0.2">
      <c r="A86" s="5">
        <v>102029</v>
      </c>
      <c r="B86" s="5" t="s">
        <v>251</v>
      </c>
      <c r="C86" s="5">
        <v>1</v>
      </c>
      <c r="D86" s="5">
        <f>INT(E86/3)</f>
        <v>26</v>
      </c>
      <c r="E86" s="5">
        <v>78</v>
      </c>
      <c r="F86" s="5">
        <v>79</v>
      </c>
      <c r="G86" s="5">
        <v>79</v>
      </c>
      <c r="H86" s="5">
        <v>85</v>
      </c>
      <c r="I86" s="5">
        <v>78</v>
      </c>
      <c r="J86" s="5">
        <f>SUM(E86:I86)</f>
        <v>399</v>
      </c>
      <c r="K86" s="5">
        <v>320</v>
      </c>
      <c r="L86" s="5">
        <v>2</v>
      </c>
      <c r="M86" s="5">
        <v>10</v>
      </c>
      <c r="N86" s="5">
        <v>17</v>
      </c>
      <c r="O86" s="5"/>
      <c r="P86" s="5"/>
      <c r="Q86" s="5">
        <f>MAX(25, INT(POWER(2.2,J86/45)))</f>
        <v>1086</v>
      </c>
      <c r="R86" s="5">
        <v>0</v>
      </c>
      <c r="S86" s="5">
        <v>1</v>
      </c>
      <c r="T86" s="5" t="s">
        <v>309</v>
      </c>
      <c r="U86" s="5"/>
      <c r="V86" s="5" t="s">
        <v>378</v>
      </c>
      <c r="W86" s="5"/>
      <c r="X86" s="5" t="s">
        <v>326</v>
      </c>
      <c r="Y86" s="10" t="s">
        <v>78</v>
      </c>
      <c r="Z86" s="5" t="s">
        <v>488</v>
      </c>
      <c r="AA86">
        <f>COUNTIF([1]Sheet1!$Q:$R, "*"&amp; A86&amp;"*")</f>
        <v>1</v>
      </c>
    </row>
    <row r="87" spans="1:27" x14ac:dyDescent="0.2">
      <c r="A87" s="5">
        <v>102030</v>
      </c>
      <c r="B87" s="5" t="s">
        <v>95</v>
      </c>
      <c r="C87" s="5">
        <v>1</v>
      </c>
      <c r="D87" s="5">
        <f>INT(E87/3)</f>
        <v>21</v>
      </c>
      <c r="E87" s="5">
        <v>64</v>
      </c>
      <c r="F87" s="5">
        <v>83</v>
      </c>
      <c r="G87" s="5">
        <v>67</v>
      </c>
      <c r="H87" s="5">
        <v>75</v>
      </c>
      <c r="I87" s="5">
        <v>85</v>
      </c>
      <c r="J87" s="5">
        <f>SUM(E87:I87)</f>
        <v>374</v>
      </c>
      <c r="K87" s="5">
        <v>300</v>
      </c>
      <c r="L87" s="5">
        <v>2</v>
      </c>
      <c r="M87" s="5">
        <v>10</v>
      </c>
      <c r="N87" s="5">
        <v>17</v>
      </c>
      <c r="O87" s="5">
        <v>15</v>
      </c>
      <c r="P87" s="5"/>
      <c r="Q87" s="5">
        <f>MAX(25, INT(POWER(2.2,J87/45)))</f>
        <v>701</v>
      </c>
      <c r="R87" s="5">
        <v>0</v>
      </c>
      <c r="S87" s="5">
        <v>3</v>
      </c>
      <c r="T87" s="5" t="s">
        <v>305</v>
      </c>
      <c r="U87" s="5"/>
      <c r="V87" s="5" t="s">
        <v>388</v>
      </c>
      <c r="W87" s="5"/>
      <c r="X87" s="5" t="s">
        <v>197</v>
      </c>
      <c r="Y87" s="10" t="s">
        <v>344</v>
      </c>
      <c r="Z87" s="5" t="s">
        <v>489</v>
      </c>
      <c r="AA87">
        <f>COUNTIF([1]Sheet1!$Q:$R, "*"&amp; A87&amp;"*")</f>
        <v>1</v>
      </c>
    </row>
    <row r="88" spans="1:27" x14ac:dyDescent="0.2">
      <c r="A88" s="5">
        <v>102031</v>
      </c>
      <c r="B88" s="5" t="s">
        <v>96</v>
      </c>
      <c r="C88" s="5">
        <v>1</v>
      </c>
      <c r="D88" s="5">
        <f>INT(E88/3)</f>
        <v>21</v>
      </c>
      <c r="E88" s="5">
        <v>65</v>
      </c>
      <c r="F88" s="5">
        <v>88</v>
      </c>
      <c r="G88" s="5">
        <v>49</v>
      </c>
      <c r="H88" s="5">
        <v>82</v>
      </c>
      <c r="I88" s="5">
        <v>70</v>
      </c>
      <c r="J88" s="5">
        <f>SUM(E88:I88)</f>
        <v>354</v>
      </c>
      <c r="K88" s="5">
        <v>200</v>
      </c>
      <c r="L88" s="5">
        <v>2</v>
      </c>
      <c r="M88" s="5">
        <v>10</v>
      </c>
      <c r="N88" s="5">
        <v>17</v>
      </c>
      <c r="O88" s="5">
        <v>13</v>
      </c>
      <c r="P88" s="5">
        <v>2.5</v>
      </c>
      <c r="Q88" s="5">
        <f>MAX(25, INT(POWER(2.2,J88/45)))</f>
        <v>493</v>
      </c>
      <c r="R88" s="5">
        <v>0</v>
      </c>
      <c r="S88" s="5">
        <v>3</v>
      </c>
      <c r="T88" s="5" t="s">
        <v>301</v>
      </c>
      <c r="U88" s="5"/>
      <c r="V88" s="5"/>
      <c r="W88" s="5"/>
      <c r="X88" s="5" t="s">
        <v>196</v>
      </c>
      <c r="Y88" s="10" t="s">
        <v>382</v>
      </c>
      <c r="Z88" s="5" t="s">
        <v>490</v>
      </c>
      <c r="AA88">
        <f>COUNTIF([1]Sheet1!$Q:$R, "*"&amp; A88&amp;"*")</f>
        <v>1</v>
      </c>
    </row>
    <row r="89" spans="1:27" x14ac:dyDescent="0.2">
      <c r="A89" s="5">
        <v>102032</v>
      </c>
      <c r="B89" s="5" t="s">
        <v>136</v>
      </c>
      <c r="C89" s="5">
        <v>1</v>
      </c>
      <c r="D89" s="5">
        <f>INT(E89/3)</f>
        <v>24</v>
      </c>
      <c r="E89" s="5">
        <v>73</v>
      </c>
      <c r="F89" s="5">
        <v>60</v>
      </c>
      <c r="G89" s="5">
        <v>77</v>
      </c>
      <c r="H89" s="5">
        <v>70</v>
      </c>
      <c r="I89" s="5">
        <v>68</v>
      </c>
      <c r="J89" s="5">
        <f>SUM(E89:I89)</f>
        <v>348</v>
      </c>
      <c r="K89" s="5">
        <v>210</v>
      </c>
      <c r="L89" s="5">
        <v>2</v>
      </c>
      <c r="M89" s="5">
        <v>10</v>
      </c>
      <c r="N89" s="5">
        <v>17</v>
      </c>
      <c r="O89" s="5">
        <v>13</v>
      </c>
      <c r="P89" s="5">
        <v>2.5</v>
      </c>
      <c r="Q89" s="5">
        <f>MAX(25, INT(POWER(2.2,J89/45)))</f>
        <v>444</v>
      </c>
      <c r="R89" s="5">
        <v>0</v>
      </c>
      <c r="S89" s="5">
        <v>3</v>
      </c>
      <c r="T89" s="5" t="s">
        <v>301</v>
      </c>
      <c r="U89" s="5"/>
      <c r="X89" s="5" t="s">
        <v>319</v>
      </c>
      <c r="Y89" s="10" t="s">
        <v>78</v>
      </c>
      <c r="Z89" s="5" t="s">
        <v>491</v>
      </c>
      <c r="AA89">
        <f>COUNTIF([1]Sheet1!$Q:$R, "*"&amp; A89&amp;"*")</f>
        <v>1</v>
      </c>
    </row>
    <row r="90" spans="1:27" x14ac:dyDescent="0.2">
      <c r="A90" s="5">
        <v>102033</v>
      </c>
      <c r="B90" s="5" t="s">
        <v>154</v>
      </c>
      <c r="C90" s="5">
        <v>1</v>
      </c>
      <c r="D90" s="5">
        <f>INT(E90/3)</f>
        <v>27</v>
      </c>
      <c r="E90" s="5">
        <v>82</v>
      </c>
      <c r="F90" s="5">
        <v>43</v>
      </c>
      <c r="G90" s="5">
        <v>90</v>
      </c>
      <c r="H90" s="5">
        <v>55</v>
      </c>
      <c r="I90" s="5">
        <v>75</v>
      </c>
      <c r="J90" s="5">
        <f>SUM(E90:I90)</f>
        <v>345</v>
      </c>
      <c r="K90" s="5">
        <v>320</v>
      </c>
      <c r="L90" s="5">
        <v>2</v>
      </c>
      <c r="M90" s="5">
        <v>10</v>
      </c>
      <c r="N90" s="5">
        <v>17</v>
      </c>
      <c r="O90" s="5"/>
      <c r="P90" s="5"/>
      <c r="Q90" s="5">
        <f>MAX(25, INT(POWER(2.2,J90/45)))</f>
        <v>421</v>
      </c>
      <c r="R90" s="5">
        <v>0</v>
      </c>
      <c r="S90" s="5">
        <v>1</v>
      </c>
      <c r="T90" s="5" t="s">
        <v>300</v>
      </c>
      <c r="U90" s="5"/>
      <c r="V90" s="5" t="s">
        <v>277</v>
      </c>
      <c r="W90" s="5"/>
      <c r="X90" s="5" t="s">
        <v>195</v>
      </c>
      <c r="Y90" s="10" t="s">
        <v>78</v>
      </c>
      <c r="Z90" s="5" t="s">
        <v>492</v>
      </c>
      <c r="AA90">
        <f>COUNTIF([1]Sheet1!$Q:$R, "*"&amp; A90&amp;"*")</f>
        <v>1</v>
      </c>
    </row>
    <row r="91" spans="1:27" x14ac:dyDescent="0.2">
      <c r="A91" s="5">
        <v>102034</v>
      </c>
      <c r="B91" s="5" t="s">
        <v>210</v>
      </c>
      <c r="C91" s="5">
        <v>1</v>
      </c>
      <c r="D91" s="5">
        <f>INT(E91/3)</f>
        <v>26</v>
      </c>
      <c r="E91" s="5">
        <v>78</v>
      </c>
      <c r="F91" s="5">
        <v>55</v>
      </c>
      <c r="G91" s="5">
        <v>75</v>
      </c>
      <c r="H91" s="5">
        <v>72</v>
      </c>
      <c r="I91" s="5">
        <v>70</v>
      </c>
      <c r="J91" s="5">
        <f>SUM(E91:I91)</f>
        <v>350</v>
      </c>
      <c r="K91" s="5">
        <v>340</v>
      </c>
      <c r="L91" s="5">
        <v>2</v>
      </c>
      <c r="M91" s="5">
        <v>10</v>
      </c>
      <c r="N91" s="5">
        <v>17</v>
      </c>
      <c r="O91" s="5"/>
      <c r="P91" s="5"/>
      <c r="Q91" s="5">
        <f>MAX(25, INT(POWER(2.2,J91/45)))</f>
        <v>460</v>
      </c>
      <c r="R91" s="5">
        <v>0</v>
      </c>
      <c r="S91" s="5">
        <v>1</v>
      </c>
      <c r="T91" s="5" t="s">
        <v>309</v>
      </c>
      <c r="U91" s="5"/>
      <c r="V91" t="s">
        <v>335</v>
      </c>
      <c r="W91" s="5"/>
      <c r="X91" s="5" t="s">
        <v>319</v>
      </c>
      <c r="Y91" s="10" t="s">
        <v>78</v>
      </c>
      <c r="Z91" s="5" t="s">
        <v>493</v>
      </c>
      <c r="AA91">
        <f>COUNTIF([1]Sheet1!$Q:$R, "*"&amp; A91&amp;"*")</f>
        <v>1</v>
      </c>
    </row>
    <row r="92" spans="1:27" x14ac:dyDescent="0.2">
      <c r="A92" s="5">
        <v>102035</v>
      </c>
      <c r="B92" s="5" t="s">
        <v>211</v>
      </c>
      <c r="C92" s="5">
        <v>1</v>
      </c>
      <c r="D92" s="5">
        <f>INT(E92/3)</f>
        <v>29</v>
      </c>
      <c r="E92" s="5">
        <v>87</v>
      </c>
      <c r="F92" s="5">
        <v>71</v>
      </c>
      <c r="G92" s="5">
        <v>78</v>
      </c>
      <c r="H92" s="5">
        <v>80</v>
      </c>
      <c r="I92" s="5">
        <v>82</v>
      </c>
      <c r="J92" s="5">
        <f>SUM(E92:I92)</f>
        <v>398</v>
      </c>
      <c r="K92" s="5">
        <v>320</v>
      </c>
      <c r="L92" s="5">
        <v>2</v>
      </c>
      <c r="M92" s="5">
        <v>10</v>
      </c>
      <c r="N92" s="5">
        <v>17</v>
      </c>
      <c r="O92" s="5"/>
      <c r="P92" s="5"/>
      <c r="Q92" s="5">
        <f>MAX(25, INT(POWER(2.2,J92/45)))</f>
        <v>1067</v>
      </c>
      <c r="R92" s="5">
        <v>0</v>
      </c>
      <c r="S92" s="5">
        <v>1</v>
      </c>
      <c r="T92" s="5" t="s">
        <v>297</v>
      </c>
      <c r="U92" s="5"/>
      <c r="V92" s="5"/>
      <c r="W92" s="5"/>
      <c r="X92" s="5" t="s">
        <v>229</v>
      </c>
      <c r="Y92" s="10" t="s">
        <v>78</v>
      </c>
      <c r="Z92" s="5" t="s">
        <v>494</v>
      </c>
      <c r="AA92">
        <f>COUNTIF([1]Sheet1!$Q:$R, "*"&amp; A92&amp;"*")</f>
        <v>1</v>
      </c>
    </row>
    <row r="93" spans="1:27" x14ac:dyDescent="0.2">
      <c r="A93" s="5">
        <v>102036</v>
      </c>
      <c r="B93" s="5" t="s">
        <v>212</v>
      </c>
      <c r="C93" s="5">
        <v>1</v>
      </c>
      <c r="D93" s="5">
        <f>INT(E93/3)</f>
        <v>26</v>
      </c>
      <c r="E93" s="5">
        <v>79</v>
      </c>
      <c r="F93" s="5">
        <v>72</v>
      </c>
      <c r="G93" s="5">
        <v>75</v>
      </c>
      <c r="H93" s="5">
        <v>75</v>
      </c>
      <c r="I93" s="5">
        <v>72</v>
      </c>
      <c r="J93" s="5">
        <f>SUM(E93:I93)</f>
        <v>373</v>
      </c>
      <c r="K93" s="5">
        <v>315</v>
      </c>
      <c r="L93" s="5">
        <v>2</v>
      </c>
      <c r="M93" s="5">
        <v>10</v>
      </c>
      <c r="N93" s="5">
        <v>17</v>
      </c>
      <c r="O93" s="5"/>
      <c r="P93" s="5"/>
      <c r="Q93" s="5">
        <f>MAX(25, INT(POWER(2.2,J93/45)))</f>
        <v>689</v>
      </c>
      <c r="R93" s="5">
        <v>0</v>
      </c>
      <c r="S93" s="5">
        <v>1</v>
      </c>
      <c r="T93" s="5" t="s">
        <v>299</v>
      </c>
      <c r="U93" s="5"/>
      <c r="V93" s="5" t="s">
        <v>378</v>
      </c>
      <c r="W93" s="5"/>
      <c r="X93" s="5" t="s">
        <v>325</v>
      </c>
      <c r="Y93" s="10" t="s">
        <v>78</v>
      </c>
      <c r="Z93" s="5" t="s">
        <v>495</v>
      </c>
      <c r="AA93">
        <f>COUNTIF([1]Sheet1!$Q:$R, "*"&amp; A93&amp;"*")</f>
        <v>1</v>
      </c>
    </row>
    <row r="94" spans="1:27" x14ac:dyDescent="0.2">
      <c r="A94" s="5">
        <v>102037</v>
      </c>
      <c r="B94" s="5" t="s">
        <v>213</v>
      </c>
      <c r="C94" s="5">
        <v>1</v>
      </c>
      <c r="D94" s="5">
        <f>INT(E94/3)</f>
        <v>23</v>
      </c>
      <c r="E94" s="5">
        <v>70</v>
      </c>
      <c r="F94" s="5">
        <v>77</v>
      </c>
      <c r="G94" s="5">
        <v>37</v>
      </c>
      <c r="H94" s="5">
        <v>88</v>
      </c>
      <c r="I94" s="5">
        <v>80</v>
      </c>
      <c r="J94" s="5">
        <f>SUM(E94:I94)</f>
        <v>352</v>
      </c>
      <c r="K94" s="5">
        <v>290</v>
      </c>
      <c r="L94" s="5">
        <v>2</v>
      </c>
      <c r="M94" s="5">
        <v>10</v>
      </c>
      <c r="N94" s="5">
        <v>17</v>
      </c>
      <c r="O94" s="5">
        <v>18</v>
      </c>
      <c r="P94" s="5"/>
      <c r="Q94" s="5">
        <f>MAX(25, INT(POWER(2.2,J94/45)))</f>
        <v>476</v>
      </c>
      <c r="R94" s="5">
        <v>0</v>
      </c>
      <c r="S94" s="5">
        <v>3</v>
      </c>
      <c r="T94" s="5" t="s">
        <v>304</v>
      </c>
      <c r="U94" s="5"/>
      <c r="V94" s="5" t="s">
        <v>333</v>
      </c>
      <c r="W94" s="5"/>
      <c r="X94" s="5" t="s">
        <v>203</v>
      </c>
      <c r="Y94" s="10" t="s">
        <v>346</v>
      </c>
      <c r="Z94" s="5" t="s">
        <v>496</v>
      </c>
      <c r="AA94">
        <f>COUNTIF([1]Sheet1!$Q:$R, "*"&amp; A94&amp;"*")</f>
        <v>1</v>
      </c>
    </row>
    <row r="95" spans="1:27" x14ac:dyDescent="0.2">
      <c r="A95" s="5">
        <v>102038</v>
      </c>
      <c r="B95" s="5" t="s">
        <v>214</v>
      </c>
      <c r="C95" s="5">
        <v>1</v>
      </c>
      <c r="D95" s="5">
        <f>INT(E95/3)</f>
        <v>28</v>
      </c>
      <c r="E95" s="5">
        <v>84</v>
      </c>
      <c r="F95" s="5">
        <v>82</v>
      </c>
      <c r="G95" s="5">
        <v>64</v>
      </c>
      <c r="H95" s="5">
        <v>85</v>
      </c>
      <c r="I95" s="5">
        <v>75</v>
      </c>
      <c r="J95" s="5">
        <f>SUM(E95:I95)</f>
        <v>390</v>
      </c>
      <c r="K95" s="5">
        <v>280</v>
      </c>
      <c r="L95" s="5">
        <v>2</v>
      </c>
      <c r="M95" s="5">
        <v>10</v>
      </c>
      <c r="N95" s="5">
        <v>17</v>
      </c>
      <c r="O95" s="5"/>
      <c r="P95" s="5"/>
      <c r="Q95" s="5">
        <f>MAX(25, INT(POWER(2.2,J95/45)))</f>
        <v>928</v>
      </c>
      <c r="R95" s="5">
        <v>0</v>
      </c>
      <c r="S95" s="5">
        <v>1</v>
      </c>
      <c r="T95" s="5" t="s">
        <v>299</v>
      </c>
      <c r="U95" s="5"/>
      <c r="V95" s="5" t="s">
        <v>313</v>
      </c>
      <c r="W95" s="5"/>
      <c r="X95" s="5" t="s">
        <v>328</v>
      </c>
      <c r="Y95" s="10" t="s">
        <v>342</v>
      </c>
      <c r="Z95" s="5" t="s">
        <v>497</v>
      </c>
      <c r="AA95">
        <f>COUNTIF([1]Sheet1!$Q:$R, "*"&amp; A95&amp;"*")</f>
        <v>1</v>
      </c>
    </row>
    <row r="96" spans="1:27" x14ac:dyDescent="0.2">
      <c r="A96" s="5">
        <v>102039</v>
      </c>
      <c r="B96" s="5" t="s">
        <v>254</v>
      </c>
      <c r="C96" s="5">
        <v>1</v>
      </c>
      <c r="D96" s="5">
        <f>INT(E96/3)</f>
        <v>10</v>
      </c>
      <c r="E96" s="5">
        <v>31</v>
      </c>
      <c r="F96" s="5">
        <v>85</v>
      </c>
      <c r="G96" s="5">
        <v>21</v>
      </c>
      <c r="H96" s="5">
        <v>70</v>
      </c>
      <c r="I96" s="5">
        <v>85</v>
      </c>
      <c r="J96" s="5">
        <f>SUM(E96:I96)</f>
        <v>292</v>
      </c>
      <c r="K96" s="5">
        <v>260</v>
      </c>
      <c r="L96" s="5">
        <v>2</v>
      </c>
      <c r="M96" s="5">
        <v>10</v>
      </c>
      <c r="N96" s="5">
        <v>17</v>
      </c>
      <c r="O96" s="5">
        <v>15</v>
      </c>
      <c r="P96" s="5"/>
      <c r="Q96" s="5">
        <f>MAX(25, INT(POWER(2.2,J96/45)))</f>
        <v>166</v>
      </c>
      <c r="R96" s="5">
        <v>0</v>
      </c>
      <c r="S96" s="5">
        <v>3</v>
      </c>
      <c r="T96" s="5" t="s">
        <v>305</v>
      </c>
      <c r="U96" s="5"/>
      <c r="V96" s="5" t="s">
        <v>391</v>
      </c>
      <c r="W96" s="5"/>
      <c r="X96" s="5" t="s">
        <v>197</v>
      </c>
      <c r="Y96" s="10" t="s">
        <v>344</v>
      </c>
      <c r="Z96" s="5" t="s">
        <v>498</v>
      </c>
      <c r="AA96">
        <f>COUNTIF([1]Sheet1!$Q:$R, "*"&amp; A96&amp;"*")</f>
        <v>1</v>
      </c>
    </row>
    <row r="97" spans="1:27" x14ac:dyDescent="0.2">
      <c r="A97" s="5">
        <v>102040</v>
      </c>
      <c r="B97" s="5" t="s">
        <v>256</v>
      </c>
      <c r="C97" s="5">
        <v>1</v>
      </c>
      <c r="D97" s="5">
        <f>INT(E97/3)</f>
        <v>16</v>
      </c>
      <c r="E97" s="5">
        <v>48</v>
      </c>
      <c r="F97" s="5">
        <v>85</v>
      </c>
      <c r="G97" s="5">
        <v>43</v>
      </c>
      <c r="H97" s="5">
        <v>84</v>
      </c>
      <c r="I97" s="5">
        <v>75</v>
      </c>
      <c r="J97" s="5">
        <f>SUM(E97:I97)</f>
        <v>335</v>
      </c>
      <c r="K97" s="5">
        <v>310</v>
      </c>
      <c r="L97" s="5">
        <v>2</v>
      </c>
      <c r="M97" s="5">
        <v>10</v>
      </c>
      <c r="N97" s="5">
        <v>17</v>
      </c>
      <c r="O97" s="5">
        <v>35</v>
      </c>
      <c r="P97" s="5"/>
      <c r="Q97" s="5">
        <f>MAX(25, INT(POWER(2.2,J97/45)))</f>
        <v>354</v>
      </c>
      <c r="R97" s="5">
        <v>0</v>
      </c>
      <c r="S97" s="5">
        <v>3</v>
      </c>
      <c r="T97" s="5" t="s">
        <v>311</v>
      </c>
      <c r="U97" s="5"/>
      <c r="V97" s="5" t="s">
        <v>334</v>
      </c>
      <c r="W97" s="5"/>
      <c r="X97" s="5" t="s">
        <v>203</v>
      </c>
      <c r="Y97" s="10" t="s">
        <v>345</v>
      </c>
      <c r="Z97" s="5" t="s">
        <v>499</v>
      </c>
      <c r="AA97">
        <f>COUNTIF([1]Sheet1!$Q:$R, "*"&amp; A97&amp;"*")</f>
        <v>1</v>
      </c>
    </row>
    <row r="98" spans="1:27" x14ac:dyDescent="0.2">
      <c r="A98" s="5">
        <v>102041</v>
      </c>
      <c r="B98" s="5" t="s">
        <v>260</v>
      </c>
      <c r="C98" s="5">
        <v>1</v>
      </c>
      <c r="D98" s="5">
        <f>INT(E98/3)</f>
        <v>18</v>
      </c>
      <c r="E98" s="5">
        <v>55</v>
      </c>
      <c r="F98" s="5">
        <v>74</v>
      </c>
      <c r="G98" s="5">
        <v>17</v>
      </c>
      <c r="H98" s="5">
        <v>70</v>
      </c>
      <c r="I98" s="5">
        <v>95</v>
      </c>
      <c r="J98" s="5">
        <f>SUM(E98:I98)</f>
        <v>311</v>
      </c>
      <c r="K98" s="5">
        <v>290</v>
      </c>
      <c r="L98" s="5">
        <v>2</v>
      </c>
      <c r="M98" s="5">
        <v>10</v>
      </c>
      <c r="N98" s="5">
        <v>17</v>
      </c>
      <c r="O98" s="5">
        <v>35</v>
      </c>
      <c r="P98" s="5"/>
      <c r="Q98" s="5">
        <f>MAX(25, INT(POWER(2.2,J98/45)))</f>
        <v>232</v>
      </c>
      <c r="R98" s="5">
        <v>0</v>
      </c>
      <c r="S98" s="5">
        <v>3</v>
      </c>
      <c r="T98" s="5" t="s">
        <v>311</v>
      </c>
      <c r="U98" s="5"/>
      <c r="V98" t="s">
        <v>404</v>
      </c>
      <c r="X98" s="5" t="s">
        <v>203</v>
      </c>
      <c r="Y98" s="10" t="s">
        <v>345</v>
      </c>
      <c r="Z98" s="5" t="s">
        <v>500</v>
      </c>
      <c r="AA98">
        <f>COUNTIF([1]Sheet1!$Q:$R, "*"&amp; A98&amp;"*")</f>
        <v>1</v>
      </c>
    </row>
    <row r="99" spans="1:27" x14ac:dyDescent="0.2">
      <c r="A99" s="5">
        <v>102042</v>
      </c>
      <c r="B99" s="5" t="s">
        <v>265</v>
      </c>
      <c r="C99" s="5">
        <v>1</v>
      </c>
      <c r="D99" s="5">
        <f>INT(E99/3)</f>
        <v>22</v>
      </c>
      <c r="E99" s="5">
        <v>66</v>
      </c>
      <c r="F99" s="5">
        <v>88</v>
      </c>
      <c r="G99" s="5">
        <v>24</v>
      </c>
      <c r="H99" s="5">
        <v>75</v>
      </c>
      <c r="I99" s="5">
        <v>70</v>
      </c>
      <c r="J99" s="5">
        <f>SUM(E99:I99)</f>
        <v>323</v>
      </c>
      <c r="K99" s="5">
        <v>270</v>
      </c>
      <c r="L99" s="5">
        <v>2</v>
      </c>
      <c r="M99" s="5">
        <v>10</v>
      </c>
      <c r="N99" s="5">
        <v>17</v>
      </c>
      <c r="O99" s="5">
        <v>15</v>
      </c>
      <c r="P99" s="5"/>
      <c r="Q99" s="5">
        <f>MAX(25, INT(POWER(2.2,J99/45)))</f>
        <v>286</v>
      </c>
      <c r="R99" s="5">
        <v>0</v>
      </c>
      <c r="S99" s="5">
        <v>3</v>
      </c>
      <c r="T99" s="5" t="s">
        <v>303</v>
      </c>
      <c r="U99" s="5"/>
      <c r="V99" t="s">
        <v>409</v>
      </c>
      <c r="X99" s="5" t="s">
        <v>329</v>
      </c>
      <c r="Y99" s="10" t="s">
        <v>77</v>
      </c>
      <c r="Z99" s="5" t="s">
        <v>501</v>
      </c>
      <c r="AA99">
        <f>COUNTIF([1]Sheet1!$Q:$R, "*"&amp; A99&amp;"*")</f>
        <v>1</v>
      </c>
    </row>
    <row r="100" spans="1:27" x14ac:dyDescent="0.2">
      <c r="A100" s="5">
        <v>103001</v>
      </c>
      <c r="B100" s="5" t="s">
        <v>109</v>
      </c>
      <c r="C100" s="5">
        <v>1</v>
      </c>
      <c r="D100" s="5">
        <f>INT(E100/3)</f>
        <v>31</v>
      </c>
      <c r="E100" s="5">
        <v>93</v>
      </c>
      <c r="F100" s="5">
        <v>77</v>
      </c>
      <c r="G100" s="5">
        <v>90</v>
      </c>
      <c r="H100" s="5">
        <v>78</v>
      </c>
      <c r="I100" s="5">
        <v>92</v>
      </c>
      <c r="J100" s="5">
        <f>SUM(E100:I100)</f>
        <v>430</v>
      </c>
      <c r="K100" s="5">
        <v>290</v>
      </c>
      <c r="L100" s="5">
        <v>3</v>
      </c>
      <c r="M100" s="5">
        <v>10</v>
      </c>
      <c r="N100" s="5">
        <v>17</v>
      </c>
      <c r="O100" s="5"/>
      <c r="P100" s="5"/>
      <c r="Q100" s="5">
        <f>MAX(25, INT(POWER(2.2,J100/45)))</f>
        <v>1870</v>
      </c>
      <c r="R100" s="5">
        <v>0</v>
      </c>
      <c r="S100" s="5">
        <v>1</v>
      </c>
      <c r="T100" s="5" t="s">
        <v>300</v>
      </c>
      <c r="U100" s="5"/>
      <c r="V100" s="5" t="s">
        <v>357</v>
      </c>
      <c r="W100" s="5"/>
      <c r="X100" s="5" t="s">
        <v>195</v>
      </c>
      <c r="Y100" s="10" t="s">
        <v>78</v>
      </c>
      <c r="Z100" s="5" t="s">
        <v>502</v>
      </c>
      <c r="AA100">
        <f>COUNTIF([1]Sheet1!$Q:$R, "*"&amp; A100&amp;"*")</f>
        <v>1</v>
      </c>
    </row>
    <row r="101" spans="1:27" x14ac:dyDescent="0.2">
      <c r="A101" s="5">
        <v>103002</v>
      </c>
      <c r="B101" s="5" t="s">
        <v>108</v>
      </c>
      <c r="C101" s="5">
        <v>1</v>
      </c>
      <c r="D101" s="5">
        <f>INT(E101/3)</f>
        <v>32</v>
      </c>
      <c r="E101" s="5">
        <v>96</v>
      </c>
      <c r="F101" s="5">
        <v>74</v>
      </c>
      <c r="G101" s="5">
        <v>93</v>
      </c>
      <c r="H101" s="5">
        <v>75</v>
      </c>
      <c r="I101" s="5">
        <v>94</v>
      </c>
      <c r="J101" s="5">
        <f>SUM(E101:I101)</f>
        <v>432</v>
      </c>
      <c r="K101" s="5">
        <v>260</v>
      </c>
      <c r="L101" s="5">
        <v>3</v>
      </c>
      <c r="M101" s="5">
        <v>10</v>
      </c>
      <c r="N101" s="5">
        <v>17</v>
      </c>
      <c r="O101" s="5"/>
      <c r="P101" s="5"/>
      <c r="Q101" s="5">
        <f>MAX(25, INT(POWER(2.2,J101/45)))</f>
        <v>1937</v>
      </c>
      <c r="R101" s="5">
        <v>0</v>
      </c>
      <c r="S101" s="5">
        <v>1</v>
      </c>
      <c r="T101" s="5" t="s">
        <v>298</v>
      </c>
      <c r="U101" s="5"/>
      <c r="V101" s="5" t="s">
        <v>282</v>
      </c>
      <c r="W101" s="5"/>
      <c r="X101" s="5" t="s">
        <v>195</v>
      </c>
      <c r="Y101" s="10" t="s">
        <v>78</v>
      </c>
      <c r="Z101" s="5" t="s">
        <v>503</v>
      </c>
      <c r="AA101">
        <f>COUNTIF([1]Sheet1!$Q:$R, "*"&amp; A101&amp;"*")</f>
        <v>1</v>
      </c>
    </row>
    <row r="102" spans="1:27" x14ac:dyDescent="0.2">
      <c r="A102" s="5">
        <v>103003</v>
      </c>
      <c r="B102" s="5" t="s">
        <v>238</v>
      </c>
      <c r="C102" s="5">
        <v>1</v>
      </c>
      <c r="D102" s="5">
        <f>INT(E102/3)</f>
        <v>31</v>
      </c>
      <c r="E102" s="5">
        <v>93</v>
      </c>
      <c r="F102" s="5">
        <v>76</v>
      </c>
      <c r="G102" s="5">
        <v>94</v>
      </c>
      <c r="H102" s="5">
        <v>70</v>
      </c>
      <c r="I102" s="5">
        <v>80</v>
      </c>
      <c r="J102" s="5">
        <f>SUM(E102:I102)</f>
        <v>413</v>
      </c>
      <c r="K102" s="5">
        <v>180</v>
      </c>
      <c r="L102" s="5">
        <v>3</v>
      </c>
      <c r="M102" s="5">
        <v>10</v>
      </c>
      <c r="N102" s="5">
        <v>17</v>
      </c>
      <c r="O102" s="5">
        <v>22</v>
      </c>
      <c r="P102" s="5">
        <v>1.5</v>
      </c>
      <c r="Q102" s="5">
        <f>MAX(25, INT(POWER(2.2,J102/45)))</f>
        <v>1388</v>
      </c>
      <c r="R102" s="5">
        <v>0</v>
      </c>
      <c r="S102" s="5">
        <v>3</v>
      </c>
      <c r="T102" s="5" t="s">
        <v>306</v>
      </c>
      <c r="U102" s="5"/>
      <c r="V102" s="5" t="s">
        <v>280</v>
      </c>
      <c r="W102" s="5"/>
      <c r="X102" s="5" t="s">
        <v>196</v>
      </c>
      <c r="Y102" s="10" t="s">
        <v>175</v>
      </c>
      <c r="Z102" s="5" t="s">
        <v>504</v>
      </c>
      <c r="AA102">
        <f>COUNTIF([1]Sheet1!$Q:$R, "*"&amp; A102&amp;"*")</f>
        <v>1</v>
      </c>
    </row>
    <row r="103" spans="1:27" x14ac:dyDescent="0.2">
      <c r="A103" s="5">
        <v>103004</v>
      </c>
      <c r="B103" s="5" t="s">
        <v>111</v>
      </c>
      <c r="C103" s="5">
        <v>1</v>
      </c>
      <c r="D103" s="5">
        <f>INT(E103/3)</f>
        <v>30</v>
      </c>
      <c r="E103" s="5">
        <v>90</v>
      </c>
      <c r="F103" s="5">
        <v>65</v>
      </c>
      <c r="G103" s="5">
        <v>93</v>
      </c>
      <c r="H103" s="5">
        <v>72</v>
      </c>
      <c r="I103" s="5">
        <v>88</v>
      </c>
      <c r="J103" s="5">
        <f>SUM(E103:I103)</f>
        <v>408</v>
      </c>
      <c r="K103" s="5">
        <v>230</v>
      </c>
      <c r="L103" s="5">
        <v>3</v>
      </c>
      <c r="M103" s="5">
        <v>10</v>
      </c>
      <c r="N103" s="5">
        <v>17</v>
      </c>
      <c r="O103" s="5">
        <v>22</v>
      </c>
      <c r="P103" s="5">
        <v>1.5</v>
      </c>
      <c r="Q103" s="5">
        <f>MAX(25, INT(POWER(2.2,J103/45)))</f>
        <v>1272</v>
      </c>
      <c r="R103" s="5">
        <v>0</v>
      </c>
      <c r="S103" s="5">
        <v>3</v>
      </c>
      <c r="T103" s="5" t="s">
        <v>306</v>
      </c>
      <c r="U103" s="5"/>
      <c r="V103" s="5" t="s">
        <v>278</v>
      </c>
      <c r="W103" s="5"/>
      <c r="X103" s="5" t="s">
        <v>196</v>
      </c>
      <c r="Y103" s="10" t="s">
        <v>175</v>
      </c>
      <c r="Z103" s="5" t="s">
        <v>505</v>
      </c>
      <c r="AA103">
        <f>COUNTIF([1]Sheet1!$Q:$R, "*"&amp; A103&amp;"*")</f>
        <v>1</v>
      </c>
    </row>
    <row r="104" spans="1:27" x14ac:dyDescent="0.2">
      <c r="A104" s="5">
        <v>103005</v>
      </c>
      <c r="B104" s="5" t="s">
        <v>112</v>
      </c>
      <c r="C104" s="5">
        <v>1</v>
      </c>
      <c r="D104" s="5">
        <f>INT(E104/3)</f>
        <v>26</v>
      </c>
      <c r="E104" s="5">
        <v>80</v>
      </c>
      <c r="F104" s="5">
        <v>70</v>
      </c>
      <c r="G104" s="5">
        <v>83</v>
      </c>
      <c r="H104" s="5">
        <v>75</v>
      </c>
      <c r="I104" s="5">
        <v>84</v>
      </c>
      <c r="J104" s="5">
        <f>SUM(E104:I104)</f>
        <v>392</v>
      </c>
      <c r="K104" s="5">
        <v>320</v>
      </c>
      <c r="L104" s="5">
        <v>3</v>
      </c>
      <c r="M104" s="5">
        <v>10</v>
      </c>
      <c r="N104" s="5">
        <v>17</v>
      </c>
      <c r="O104" s="5"/>
      <c r="P104" s="5"/>
      <c r="Q104" s="5">
        <f>MAX(25, INT(POWER(2.2,J104/45)))</f>
        <v>961</v>
      </c>
      <c r="R104" s="5">
        <v>0</v>
      </c>
      <c r="S104" s="5">
        <v>1</v>
      </c>
      <c r="T104" s="5" t="s">
        <v>297</v>
      </c>
      <c r="U104" s="5"/>
      <c r="V104" s="5" t="s">
        <v>341</v>
      </c>
      <c r="W104" s="5"/>
      <c r="X104" s="5" t="s">
        <v>194</v>
      </c>
      <c r="Y104" s="10" t="s">
        <v>78</v>
      </c>
      <c r="Z104" s="5" t="s">
        <v>506</v>
      </c>
      <c r="AA104">
        <f>COUNTIF([1]Sheet1!$Q:$R, "*"&amp; A104&amp;"*")</f>
        <v>1</v>
      </c>
    </row>
    <row r="105" spans="1:27" x14ac:dyDescent="0.2">
      <c r="A105" s="5">
        <v>103006</v>
      </c>
      <c r="B105" s="5" t="s">
        <v>113</v>
      </c>
      <c r="C105" s="5">
        <v>1</v>
      </c>
      <c r="D105" s="5">
        <f>INT(E105/3)</f>
        <v>28</v>
      </c>
      <c r="E105" s="5">
        <v>84</v>
      </c>
      <c r="F105" s="5">
        <v>51</v>
      </c>
      <c r="G105" s="5">
        <v>91</v>
      </c>
      <c r="H105" s="5">
        <v>65</v>
      </c>
      <c r="I105" s="5">
        <v>82</v>
      </c>
      <c r="J105" s="5">
        <f>SUM(E105:I105)</f>
        <v>373</v>
      </c>
      <c r="K105" s="5">
        <v>350</v>
      </c>
      <c r="L105" s="5">
        <v>3</v>
      </c>
      <c r="M105" s="5">
        <v>10</v>
      </c>
      <c r="N105" s="5">
        <v>17</v>
      </c>
      <c r="O105" s="5"/>
      <c r="P105" s="5"/>
      <c r="Q105" s="5">
        <f>MAX(25, INT(POWER(2.2,J105/45)))</f>
        <v>689</v>
      </c>
      <c r="R105" s="5">
        <v>0</v>
      </c>
      <c r="S105" s="5">
        <v>1</v>
      </c>
      <c r="T105" s="5" t="s">
        <v>300</v>
      </c>
      <c r="U105" s="5"/>
      <c r="V105" s="5" t="s">
        <v>366</v>
      </c>
      <c r="W105" s="5"/>
      <c r="X105" s="5" t="s">
        <v>198</v>
      </c>
      <c r="Y105" s="10" t="s">
        <v>78</v>
      </c>
      <c r="Z105" s="5" t="s">
        <v>507</v>
      </c>
      <c r="AA105">
        <f>COUNTIF([1]Sheet1!$Q:$R, "*"&amp; A105&amp;"*")</f>
        <v>1</v>
      </c>
    </row>
    <row r="106" spans="1:27" x14ac:dyDescent="0.2">
      <c r="A106" s="5">
        <v>103007</v>
      </c>
      <c r="B106" s="5" t="s">
        <v>114</v>
      </c>
      <c r="C106" s="5">
        <v>1</v>
      </c>
      <c r="D106" s="5">
        <f>INT(E106/3)</f>
        <v>28</v>
      </c>
      <c r="E106" s="5">
        <v>85</v>
      </c>
      <c r="F106" s="5">
        <v>92</v>
      </c>
      <c r="G106" s="5">
        <v>61</v>
      </c>
      <c r="H106" s="5">
        <v>90</v>
      </c>
      <c r="I106" s="5">
        <v>94</v>
      </c>
      <c r="J106" s="5">
        <f>SUM(E106:I106)</f>
        <v>422</v>
      </c>
      <c r="K106" s="5">
        <v>250</v>
      </c>
      <c r="L106" s="5">
        <v>3</v>
      </c>
      <c r="M106" s="5">
        <v>10</v>
      </c>
      <c r="N106" s="5">
        <v>17</v>
      </c>
      <c r="O106" s="5">
        <v>18</v>
      </c>
      <c r="P106" s="5"/>
      <c r="Q106" s="5">
        <f>MAX(25, INT(POWER(2.2,J106/45)))</f>
        <v>1626</v>
      </c>
      <c r="R106" s="5">
        <v>0</v>
      </c>
      <c r="S106" s="5">
        <v>3</v>
      </c>
      <c r="T106" s="5" t="s">
        <v>304</v>
      </c>
      <c r="U106" s="5"/>
      <c r="V106" s="5" t="s">
        <v>281</v>
      </c>
      <c r="W106" s="5" t="s">
        <v>385</v>
      </c>
      <c r="X106" s="5" t="s">
        <v>203</v>
      </c>
      <c r="Y106" s="10" t="s">
        <v>346</v>
      </c>
      <c r="Z106" s="5" t="s">
        <v>508</v>
      </c>
      <c r="AA106">
        <f>COUNTIF([1]Sheet1!$Q:$R, "*"&amp; A106&amp;"*")</f>
        <v>1</v>
      </c>
    </row>
    <row r="107" spans="1:27" x14ac:dyDescent="0.2">
      <c r="A107" s="5">
        <v>103008</v>
      </c>
      <c r="B107" s="5" t="s">
        <v>115</v>
      </c>
      <c r="C107" s="5">
        <v>1</v>
      </c>
      <c r="D107" s="5">
        <f>INT(E107/3)</f>
        <v>32</v>
      </c>
      <c r="E107" s="5">
        <v>96</v>
      </c>
      <c r="F107" s="5">
        <v>96</v>
      </c>
      <c r="G107" s="5">
        <v>71</v>
      </c>
      <c r="H107" s="5">
        <v>88</v>
      </c>
      <c r="I107" s="5">
        <v>96</v>
      </c>
      <c r="J107" s="5">
        <f>SUM(E107:I107)</f>
        <v>447</v>
      </c>
      <c r="K107" s="5">
        <v>210</v>
      </c>
      <c r="L107" s="5">
        <v>3</v>
      </c>
      <c r="M107" s="5">
        <v>10</v>
      </c>
      <c r="N107" s="5">
        <v>17</v>
      </c>
      <c r="O107" s="5">
        <v>15</v>
      </c>
      <c r="P107" s="5"/>
      <c r="Q107" s="5">
        <f>MAX(25, INT(POWER(2.2,J107/45)))</f>
        <v>2519</v>
      </c>
      <c r="R107" s="5">
        <v>0</v>
      </c>
      <c r="S107" s="5">
        <v>3</v>
      </c>
      <c r="T107" s="5" t="s">
        <v>303</v>
      </c>
      <c r="U107" s="5"/>
      <c r="V107" s="5" t="s">
        <v>288</v>
      </c>
      <c r="W107" s="5" t="s">
        <v>400</v>
      </c>
      <c r="X107" s="5" t="s">
        <v>197</v>
      </c>
      <c r="Y107" s="10" t="s">
        <v>171</v>
      </c>
      <c r="Z107" s="5" t="s">
        <v>509</v>
      </c>
      <c r="AA107">
        <f>COUNTIF([1]Sheet1!$Q:$R, "*"&amp; A107&amp;"*")</f>
        <v>1</v>
      </c>
    </row>
    <row r="108" spans="1:27" x14ac:dyDescent="0.2">
      <c r="A108" s="5">
        <v>103009</v>
      </c>
      <c r="B108" s="5" t="s">
        <v>118</v>
      </c>
      <c r="C108" s="5">
        <v>1</v>
      </c>
      <c r="D108" s="5">
        <f>INT(E108/3)</f>
        <v>25</v>
      </c>
      <c r="E108" s="5">
        <v>77</v>
      </c>
      <c r="F108" s="5">
        <v>57</v>
      </c>
      <c r="G108" s="5">
        <v>84</v>
      </c>
      <c r="H108" s="5">
        <v>68</v>
      </c>
      <c r="I108" s="5">
        <v>75</v>
      </c>
      <c r="J108" s="5">
        <f>SUM(E108:I108)</f>
        <v>361</v>
      </c>
      <c r="K108" s="5">
        <v>310</v>
      </c>
      <c r="L108" s="5">
        <v>3</v>
      </c>
      <c r="M108" s="5">
        <v>10</v>
      </c>
      <c r="N108" s="5">
        <v>17</v>
      </c>
      <c r="O108" s="5"/>
      <c r="P108" s="5"/>
      <c r="Q108" s="5">
        <f>MAX(25, INT(POWER(2.2,J108/45)))</f>
        <v>558</v>
      </c>
      <c r="R108" s="5">
        <v>0</v>
      </c>
      <c r="S108" s="5">
        <v>1</v>
      </c>
      <c r="T108" s="5" t="s">
        <v>299</v>
      </c>
      <c r="U108" s="5"/>
      <c r="V108" s="5"/>
      <c r="W108" s="5"/>
      <c r="X108" s="5" t="s">
        <v>195</v>
      </c>
      <c r="Y108" s="10" t="s">
        <v>78</v>
      </c>
      <c r="Z108" s="5" t="s">
        <v>510</v>
      </c>
      <c r="AA108">
        <f>COUNTIF([1]Sheet1!$Q:$R, "*"&amp; A108&amp;"*")</f>
        <v>1</v>
      </c>
    </row>
    <row r="109" spans="1:27" x14ac:dyDescent="0.2">
      <c r="A109" s="5">
        <v>103010</v>
      </c>
      <c r="B109" s="5" t="s">
        <v>249</v>
      </c>
      <c r="C109" s="5">
        <v>1</v>
      </c>
      <c r="D109" s="5">
        <f>INT(E109/3)</f>
        <v>30</v>
      </c>
      <c r="E109" s="5">
        <v>92</v>
      </c>
      <c r="F109" s="5">
        <v>91</v>
      </c>
      <c r="G109" s="5">
        <v>80</v>
      </c>
      <c r="H109" s="5">
        <v>85</v>
      </c>
      <c r="I109" s="5">
        <v>86</v>
      </c>
      <c r="J109" s="5">
        <f>SUM(E109:I109)</f>
        <v>434</v>
      </c>
      <c r="K109" s="5">
        <v>250</v>
      </c>
      <c r="L109" s="5">
        <v>3</v>
      </c>
      <c r="M109" s="5">
        <v>10</v>
      </c>
      <c r="N109" s="5">
        <v>17</v>
      </c>
      <c r="O109" s="5"/>
      <c r="P109" s="5"/>
      <c r="Q109" s="5">
        <f>MAX(25, INT(POWER(2.2,J109/45)))</f>
        <v>2006</v>
      </c>
      <c r="R109" s="5">
        <v>0</v>
      </c>
      <c r="S109" s="5">
        <v>1</v>
      </c>
      <c r="T109" s="5" t="s">
        <v>310</v>
      </c>
      <c r="U109" s="5"/>
      <c r="V109" s="5" t="s">
        <v>289</v>
      </c>
      <c r="W109" s="5" t="s">
        <v>396</v>
      </c>
      <c r="X109" s="5" t="s">
        <v>201</v>
      </c>
      <c r="Y109" s="10" t="s">
        <v>78</v>
      </c>
      <c r="Z109" s="5" t="s">
        <v>511</v>
      </c>
      <c r="AA109">
        <f>COUNTIF([1]Sheet1!$Q:$R, "*"&amp; A109&amp;"*")</f>
        <v>1</v>
      </c>
    </row>
    <row r="110" spans="1:27" x14ac:dyDescent="0.2">
      <c r="A110" s="5">
        <v>103011</v>
      </c>
      <c r="B110" s="5" t="s">
        <v>120</v>
      </c>
      <c r="C110" s="5">
        <v>1</v>
      </c>
      <c r="D110" s="5">
        <f>INT(E110/3)</f>
        <v>32</v>
      </c>
      <c r="E110" s="5">
        <v>96</v>
      </c>
      <c r="F110" s="5">
        <v>94</v>
      </c>
      <c r="G110" s="5">
        <v>69</v>
      </c>
      <c r="H110" s="5">
        <v>92</v>
      </c>
      <c r="I110" s="5">
        <v>89</v>
      </c>
      <c r="J110" s="5">
        <f>SUM(E110:I110)</f>
        <v>440</v>
      </c>
      <c r="K110" s="5">
        <v>220</v>
      </c>
      <c r="L110" s="5">
        <v>3</v>
      </c>
      <c r="M110" s="5">
        <v>10</v>
      </c>
      <c r="N110" s="5">
        <v>17</v>
      </c>
      <c r="O110" s="5">
        <v>15</v>
      </c>
      <c r="P110" s="5"/>
      <c r="Q110" s="5">
        <f>MAX(25, INT(POWER(2.2,J110/45)))</f>
        <v>2229</v>
      </c>
      <c r="R110" s="5">
        <v>0</v>
      </c>
      <c r="S110" s="5">
        <v>3</v>
      </c>
      <c r="T110" s="5" t="s">
        <v>303</v>
      </c>
      <c r="U110" s="5"/>
      <c r="V110" s="5" t="s">
        <v>288</v>
      </c>
      <c r="W110" s="5"/>
      <c r="X110" s="5" t="s">
        <v>197</v>
      </c>
      <c r="Y110" s="10" t="s">
        <v>179</v>
      </c>
      <c r="Z110" s="5" t="s">
        <v>512</v>
      </c>
      <c r="AA110">
        <f>COUNTIF([1]Sheet1!$Q:$R, "*"&amp; A110&amp;"*")</f>
        <v>1</v>
      </c>
    </row>
    <row r="111" spans="1:27" x14ac:dyDescent="0.2">
      <c r="A111" s="5">
        <v>103012</v>
      </c>
      <c r="B111" s="5" t="s">
        <v>234</v>
      </c>
      <c r="C111" s="5">
        <v>1</v>
      </c>
      <c r="D111" s="5">
        <f>INT(E111/3)</f>
        <v>21</v>
      </c>
      <c r="E111" s="5">
        <v>65</v>
      </c>
      <c r="F111" s="5">
        <v>89</v>
      </c>
      <c r="G111" s="5">
        <v>41</v>
      </c>
      <c r="H111" s="5">
        <v>96</v>
      </c>
      <c r="I111" s="5">
        <v>75</v>
      </c>
      <c r="J111" s="5">
        <f>SUM(E111:I111)</f>
        <v>366</v>
      </c>
      <c r="K111" s="5">
        <v>275</v>
      </c>
      <c r="L111" s="5">
        <v>3</v>
      </c>
      <c r="M111" s="5">
        <v>10</v>
      </c>
      <c r="N111" s="5">
        <v>17</v>
      </c>
      <c r="O111" s="5">
        <v>18</v>
      </c>
      <c r="P111" s="5"/>
      <c r="Q111" s="5">
        <f>MAX(25, INT(POWER(2.2,J111/45)))</f>
        <v>609</v>
      </c>
      <c r="R111" s="5">
        <v>0</v>
      </c>
      <c r="S111" s="5">
        <v>3</v>
      </c>
      <c r="T111" s="5" t="s">
        <v>304</v>
      </c>
      <c r="U111" s="5"/>
      <c r="V111" s="5"/>
      <c r="W111" s="5"/>
      <c r="X111" s="5" t="s">
        <v>203</v>
      </c>
      <c r="Y111" s="10" t="s">
        <v>346</v>
      </c>
      <c r="Z111" s="5" t="s">
        <v>513</v>
      </c>
      <c r="AA111">
        <f>COUNTIF([1]Sheet1!$Q:$R, "*"&amp; A111&amp;"*")</f>
        <v>1</v>
      </c>
    </row>
    <row r="112" spans="1:27" x14ac:dyDescent="0.2">
      <c r="A112" s="5">
        <v>103013</v>
      </c>
      <c r="B112" s="5" t="s">
        <v>135</v>
      </c>
      <c r="C112" s="5">
        <v>1</v>
      </c>
      <c r="D112" s="5">
        <f>INT(E112/3)</f>
        <v>25</v>
      </c>
      <c r="E112" s="5">
        <v>75</v>
      </c>
      <c r="F112" s="5">
        <v>83</v>
      </c>
      <c r="G112" s="5">
        <v>44</v>
      </c>
      <c r="H112" s="5">
        <v>88</v>
      </c>
      <c r="I112" s="5">
        <v>90</v>
      </c>
      <c r="J112" s="5">
        <f>SUM(E112:I112)</f>
        <v>380</v>
      </c>
      <c r="K112" s="5">
        <v>290</v>
      </c>
      <c r="L112" s="5">
        <v>3</v>
      </c>
      <c r="M112" s="5">
        <v>10</v>
      </c>
      <c r="N112" s="5">
        <v>17</v>
      </c>
      <c r="O112" s="5">
        <v>15</v>
      </c>
      <c r="P112" s="5"/>
      <c r="Q112" s="5">
        <f>MAX(25, INT(POWER(2.2,J112/45)))</f>
        <v>779</v>
      </c>
      <c r="R112" s="5">
        <v>0</v>
      </c>
      <c r="S112" s="5">
        <v>3</v>
      </c>
      <c r="T112" s="5" t="s">
        <v>305</v>
      </c>
      <c r="U112" s="5"/>
      <c r="V112" s="5" t="s">
        <v>338</v>
      </c>
      <c r="W112" s="5"/>
      <c r="X112" s="5" t="s">
        <v>203</v>
      </c>
      <c r="Y112" s="10" t="s">
        <v>344</v>
      </c>
      <c r="Z112" s="5" t="s">
        <v>514</v>
      </c>
      <c r="AA112">
        <f>COUNTIF([1]Sheet1!$Q:$R, "*"&amp; A112&amp;"*")</f>
        <v>1</v>
      </c>
    </row>
    <row r="113" spans="1:27" x14ac:dyDescent="0.2">
      <c r="A113" s="5">
        <v>103014</v>
      </c>
      <c r="B113" s="5" t="s">
        <v>106</v>
      </c>
      <c r="C113" s="5">
        <v>1</v>
      </c>
      <c r="D113" s="5">
        <f>INT(E113/3)</f>
        <v>25</v>
      </c>
      <c r="E113" s="5">
        <v>76</v>
      </c>
      <c r="F113" s="5">
        <v>70</v>
      </c>
      <c r="G113" s="5">
        <v>83</v>
      </c>
      <c r="H113" s="5">
        <v>70</v>
      </c>
      <c r="I113" s="5">
        <v>85</v>
      </c>
      <c r="J113" s="5">
        <f>SUM(E113:I113)</f>
        <v>384</v>
      </c>
      <c r="K113" s="5">
        <v>240</v>
      </c>
      <c r="L113" s="5">
        <v>3</v>
      </c>
      <c r="M113" s="5">
        <v>10</v>
      </c>
      <c r="N113" s="5">
        <v>17</v>
      </c>
      <c r="O113" s="5">
        <v>22</v>
      </c>
      <c r="P113" s="5">
        <v>1.5</v>
      </c>
      <c r="Q113" s="5">
        <f>MAX(25, INT(POWER(2.2,J113/45)))</f>
        <v>835</v>
      </c>
      <c r="R113" s="5">
        <v>0</v>
      </c>
      <c r="S113" s="5">
        <v>3</v>
      </c>
      <c r="T113" s="5" t="s">
        <v>306</v>
      </c>
      <c r="U113" s="5"/>
      <c r="V113" s="5"/>
      <c r="W113" s="5"/>
      <c r="X113" s="5" t="s">
        <v>196</v>
      </c>
      <c r="Y113" s="10" t="s">
        <v>175</v>
      </c>
      <c r="Z113" s="5" t="s">
        <v>515</v>
      </c>
      <c r="AA113">
        <f>COUNTIF([1]Sheet1!$Q:$R, "*"&amp; A113&amp;"*")</f>
        <v>1</v>
      </c>
    </row>
    <row r="114" spans="1:27" x14ac:dyDescent="0.2">
      <c r="A114" s="5">
        <v>103015</v>
      </c>
      <c r="B114" s="5" t="s">
        <v>252</v>
      </c>
      <c r="C114" s="5">
        <v>1</v>
      </c>
      <c r="D114" s="5">
        <f>INT(E114/3)</f>
        <v>28</v>
      </c>
      <c r="E114" s="5">
        <v>84</v>
      </c>
      <c r="F114" s="5">
        <v>77</v>
      </c>
      <c r="G114" s="5">
        <v>82</v>
      </c>
      <c r="H114" s="5">
        <v>78</v>
      </c>
      <c r="I114" s="5">
        <v>75</v>
      </c>
      <c r="J114" s="5">
        <f>SUM(E114:I114)</f>
        <v>396</v>
      </c>
      <c r="K114" s="5">
        <v>320</v>
      </c>
      <c r="L114" s="5">
        <v>3</v>
      </c>
      <c r="M114" s="5">
        <v>10</v>
      </c>
      <c r="N114" s="5">
        <v>17</v>
      </c>
      <c r="O114" s="5"/>
      <c r="P114" s="5"/>
      <c r="Q114" s="5">
        <f>MAX(25, INT(POWER(2.2,J114/45)))</f>
        <v>1031</v>
      </c>
      <c r="R114" s="5">
        <v>0</v>
      </c>
      <c r="S114" s="5">
        <v>1</v>
      </c>
      <c r="T114" s="5" t="s">
        <v>300</v>
      </c>
      <c r="U114" s="5"/>
      <c r="V114" s="5" t="s">
        <v>275</v>
      </c>
      <c r="W114" s="5" t="s">
        <v>394</v>
      </c>
      <c r="X114" s="5" t="s">
        <v>194</v>
      </c>
      <c r="Y114" s="10" t="s">
        <v>78</v>
      </c>
      <c r="Z114" s="5" t="s">
        <v>516</v>
      </c>
      <c r="AA114">
        <f>COUNTIF([1]Sheet1!$Q:$R, "*"&amp; A114&amp;"*")</f>
        <v>1</v>
      </c>
    </row>
    <row r="115" spans="1:27" x14ac:dyDescent="0.2">
      <c r="A115" s="5">
        <v>103016</v>
      </c>
      <c r="B115" s="5" t="s">
        <v>122</v>
      </c>
      <c r="C115" s="5">
        <v>1</v>
      </c>
      <c r="D115" s="5">
        <f>INT(E115/3)</f>
        <v>19</v>
      </c>
      <c r="E115" s="5">
        <v>57</v>
      </c>
      <c r="F115" s="5">
        <v>73</v>
      </c>
      <c r="G115" s="5">
        <v>14</v>
      </c>
      <c r="H115" s="5">
        <v>65</v>
      </c>
      <c r="I115" s="5">
        <v>92</v>
      </c>
      <c r="J115" s="5">
        <f>SUM(E115:I115)</f>
        <v>301</v>
      </c>
      <c r="K115" s="5">
        <v>280</v>
      </c>
      <c r="L115" s="5">
        <v>3</v>
      </c>
      <c r="M115" s="5">
        <v>10</v>
      </c>
      <c r="N115" s="5">
        <v>17</v>
      </c>
      <c r="O115" s="5">
        <v>15</v>
      </c>
      <c r="P115" s="5"/>
      <c r="Q115" s="5">
        <f>MAX(25, INT(POWER(2.2,J115/45)))</f>
        <v>195</v>
      </c>
      <c r="R115" s="5">
        <v>0</v>
      </c>
      <c r="S115" s="5">
        <v>3</v>
      </c>
      <c r="T115" s="5" t="s">
        <v>307</v>
      </c>
      <c r="U115" s="5"/>
      <c r="V115" s="5" t="s">
        <v>373</v>
      </c>
      <c r="W115" t="s">
        <v>409</v>
      </c>
      <c r="X115" s="5" t="s">
        <v>203</v>
      </c>
      <c r="Y115" s="10" t="s">
        <v>77</v>
      </c>
      <c r="Z115" s="5" t="s">
        <v>517</v>
      </c>
      <c r="AA115">
        <f>COUNTIF([1]Sheet1!$Q:$R, "*"&amp; A115&amp;"*")</f>
        <v>1</v>
      </c>
    </row>
    <row r="116" spans="1:27" x14ac:dyDescent="0.2">
      <c r="A116" s="5">
        <v>103017</v>
      </c>
      <c r="B116" s="5" t="s">
        <v>123</v>
      </c>
      <c r="C116" s="5">
        <v>1</v>
      </c>
      <c r="D116" s="5">
        <f>INT(E116/3)</f>
        <v>13</v>
      </c>
      <c r="E116" s="5">
        <v>40</v>
      </c>
      <c r="F116" s="5">
        <v>74</v>
      </c>
      <c r="G116" s="5">
        <v>19</v>
      </c>
      <c r="H116" s="5">
        <v>60</v>
      </c>
      <c r="I116" s="5">
        <v>90</v>
      </c>
      <c r="J116" s="5">
        <f>SUM(E116:I116)</f>
        <v>283</v>
      </c>
      <c r="K116" s="5">
        <v>270</v>
      </c>
      <c r="L116" s="5">
        <v>3</v>
      </c>
      <c r="M116" s="5">
        <v>10</v>
      </c>
      <c r="N116" s="5">
        <v>17</v>
      </c>
      <c r="O116" s="5">
        <v>15</v>
      </c>
      <c r="P116" s="5"/>
      <c r="Q116" s="5">
        <f>MAX(25, INT(POWER(2.2,J116/45)))</f>
        <v>142</v>
      </c>
      <c r="R116" s="5">
        <v>0</v>
      </c>
      <c r="S116" s="5">
        <v>3</v>
      </c>
      <c r="T116" s="5" t="s">
        <v>307</v>
      </c>
      <c r="U116" s="5"/>
      <c r="V116" s="5" t="s">
        <v>375</v>
      </c>
      <c r="W116" t="s">
        <v>409</v>
      </c>
      <c r="X116" s="5" t="s">
        <v>203</v>
      </c>
      <c r="Y116" s="10" t="s">
        <v>77</v>
      </c>
      <c r="Z116" s="5" t="s">
        <v>518</v>
      </c>
      <c r="AA116">
        <f>COUNTIF([1]Sheet1!$Q:$R, "*"&amp; A116&amp;"*")</f>
        <v>1</v>
      </c>
    </row>
    <row r="117" spans="1:27" x14ac:dyDescent="0.2">
      <c r="A117" s="5">
        <v>103018</v>
      </c>
      <c r="B117" s="5" t="s">
        <v>239</v>
      </c>
      <c r="C117" s="5">
        <v>1</v>
      </c>
      <c r="D117" s="5">
        <f>INT(E117/3)</f>
        <v>25</v>
      </c>
      <c r="E117" s="5">
        <v>76</v>
      </c>
      <c r="F117" s="5">
        <v>68</v>
      </c>
      <c r="G117" s="5">
        <v>82</v>
      </c>
      <c r="H117" s="5">
        <v>72</v>
      </c>
      <c r="I117" s="5">
        <v>78</v>
      </c>
      <c r="J117" s="5">
        <f>SUM(E117:I117)</f>
        <v>376</v>
      </c>
      <c r="K117" s="5">
        <v>205</v>
      </c>
      <c r="L117" s="5">
        <v>3</v>
      </c>
      <c r="M117" s="5">
        <v>10</v>
      </c>
      <c r="N117" s="5">
        <v>17</v>
      </c>
      <c r="O117" s="5">
        <v>13</v>
      </c>
      <c r="P117" s="5">
        <v>2.5</v>
      </c>
      <c r="Q117" s="5">
        <f>MAX(25, INT(POWER(2.2,J117/45)))</f>
        <v>726</v>
      </c>
      <c r="R117" s="5">
        <v>0</v>
      </c>
      <c r="S117" s="5">
        <v>3</v>
      </c>
      <c r="T117" s="5" t="s">
        <v>301</v>
      </c>
      <c r="U117" s="5"/>
      <c r="V117" s="5"/>
      <c r="W117" s="5"/>
      <c r="X117" s="5" t="s">
        <v>196</v>
      </c>
      <c r="Y117" s="10" t="s">
        <v>382</v>
      </c>
      <c r="Z117" s="5" t="s">
        <v>519</v>
      </c>
      <c r="AA117">
        <f>COUNTIF([1]Sheet1!$Q:$R, "*"&amp; A117&amp;"*")</f>
        <v>1</v>
      </c>
    </row>
    <row r="118" spans="1:27" x14ac:dyDescent="0.2">
      <c r="A118" s="5">
        <v>103019</v>
      </c>
      <c r="B118" s="5" t="s">
        <v>126</v>
      </c>
      <c r="C118" s="5">
        <v>1</v>
      </c>
      <c r="D118" s="5">
        <f>INT(E118/3)</f>
        <v>24</v>
      </c>
      <c r="E118" s="5">
        <v>74</v>
      </c>
      <c r="F118" s="5">
        <v>60</v>
      </c>
      <c r="G118" s="5">
        <v>80</v>
      </c>
      <c r="H118" s="5">
        <v>68</v>
      </c>
      <c r="I118" s="5">
        <v>75</v>
      </c>
      <c r="J118" s="5">
        <f>SUM(E118:I118)</f>
        <v>357</v>
      </c>
      <c r="K118" s="5">
        <v>325</v>
      </c>
      <c r="L118" s="5">
        <v>3</v>
      </c>
      <c r="M118" s="5">
        <v>10</v>
      </c>
      <c r="N118" s="5">
        <v>17</v>
      </c>
      <c r="O118" s="5"/>
      <c r="P118" s="5"/>
      <c r="Q118" s="5">
        <f>MAX(25, INT(POWER(2.2,J118/45)))</f>
        <v>520</v>
      </c>
      <c r="R118" s="5">
        <v>0</v>
      </c>
      <c r="S118" s="5">
        <v>1</v>
      </c>
      <c r="T118" s="5" t="s">
        <v>309</v>
      </c>
      <c r="U118" s="5"/>
      <c r="V118" s="5" t="s">
        <v>337</v>
      </c>
      <c r="X118" s="5" t="s">
        <v>319</v>
      </c>
      <c r="Y118" s="10" t="s">
        <v>78</v>
      </c>
      <c r="Z118" s="5" t="s">
        <v>520</v>
      </c>
      <c r="AA118">
        <f>COUNTIF([1]Sheet1!$Q:$R, "*"&amp; A118&amp;"*")</f>
        <v>1</v>
      </c>
    </row>
    <row r="119" spans="1:27" x14ac:dyDescent="0.2">
      <c r="A119" s="5">
        <v>103020</v>
      </c>
      <c r="B119" s="5" t="s">
        <v>244</v>
      </c>
      <c r="C119" s="5">
        <v>1</v>
      </c>
      <c r="D119" s="5">
        <f>INT(E119/3)</f>
        <v>25</v>
      </c>
      <c r="E119" s="5">
        <v>77</v>
      </c>
      <c r="F119" s="5">
        <v>62</v>
      </c>
      <c r="G119" s="5">
        <v>87</v>
      </c>
      <c r="H119" s="5">
        <v>70</v>
      </c>
      <c r="I119" s="5">
        <v>80</v>
      </c>
      <c r="J119" s="5">
        <f>SUM(E119:I119)</f>
        <v>376</v>
      </c>
      <c r="K119" s="5">
        <v>205</v>
      </c>
      <c r="L119" s="5">
        <v>3</v>
      </c>
      <c r="M119" s="5">
        <v>10</v>
      </c>
      <c r="N119" s="5">
        <v>17</v>
      </c>
      <c r="O119" s="5">
        <v>30</v>
      </c>
      <c r="P119" s="5">
        <v>1.5</v>
      </c>
      <c r="Q119" s="5">
        <f>MAX(25, INT(POWER(2.2,J119/45)))</f>
        <v>726</v>
      </c>
      <c r="R119" s="5">
        <v>0</v>
      </c>
      <c r="S119" s="5">
        <v>3</v>
      </c>
      <c r="T119" s="5" t="s">
        <v>302</v>
      </c>
      <c r="U119" s="5"/>
      <c r="V119" s="5" t="s">
        <v>388</v>
      </c>
      <c r="X119" s="5" t="s">
        <v>196</v>
      </c>
      <c r="Y119" s="10" t="s">
        <v>175</v>
      </c>
      <c r="Z119" s="5" t="s">
        <v>521</v>
      </c>
      <c r="AA119">
        <f>COUNTIF([1]Sheet1!$Q:$R, "*"&amp; A119&amp;"*")</f>
        <v>1</v>
      </c>
    </row>
    <row r="120" spans="1:27" x14ac:dyDescent="0.2">
      <c r="A120" s="5">
        <v>103021</v>
      </c>
      <c r="B120" s="5" t="s">
        <v>131</v>
      </c>
      <c r="C120" s="5">
        <v>1</v>
      </c>
      <c r="D120" s="5">
        <f>INT(E120/3)</f>
        <v>25</v>
      </c>
      <c r="E120" s="5">
        <v>75</v>
      </c>
      <c r="F120" s="5">
        <v>74</v>
      </c>
      <c r="G120" s="5">
        <v>80</v>
      </c>
      <c r="H120" s="5">
        <v>72</v>
      </c>
      <c r="I120" s="5">
        <v>55</v>
      </c>
      <c r="J120" s="5">
        <f>SUM(E120:I120)</f>
        <v>356</v>
      </c>
      <c r="K120" s="5">
        <v>295</v>
      </c>
      <c r="L120" s="5">
        <v>3</v>
      </c>
      <c r="M120" s="5">
        <v>10</v>
      </c>
      <c r="N120" s="5">
        <v>17</v>
      </c>
      <c r="O120" s="5"/>
      <c r="P120" s="5"/>
      <c r="Q120" s="5">
        <f>MAX(25, INT(POWER(2.2,J120/45)))</f>
        <v>511</v>
      </c>
      <c r="R120" s="5">
        <v>0</v>
      </c>
      <c r="S120" s="5">
        <v>1</v>
      </c>
      <c r="T120" s="5" t="s">
        <v>299</v>
      </c>
      <c r="U120" s="5"/>
      <c r="V120" s="5" t="s">
        <v>276</v>
      </c>
      <c r="W120" s="5" t="s">
        <v>388</v>
      </c>
      <c r="X120" s="5" t="s">
        <v>202</v>
      </c>
      <c r="Y120" s="10" t="s">
        <v>78</v>
      </c>
      <c r="Z120" s="5" t="s">
        <v>522</v>
      </c>
      <c r="AA120">
        <f>COUNTIF([1]Sheet1!$Q:$R, "*"&amp; A120&amp;"*")</f>
        <v>1</v>
      </c>
    </row>
    <row r="121" spans="1:27" x14ac:dyDescent="0.2">
      <c r="A121" s="5">
        <v>103022</v>
      </c>
      <c r="B121" s="5" t="s">
        <v>250</v>
      </c>
      <c r="C121" s="5">
        <v>1</v>
      </c>
      <c r="D121" s="5">
        <f>INT(E121/3)</f>
        <v>24</v>
      </c>
      <c r="E121" s="5">
        <v>73</v>
      </c>
      <c r="F121" s="5">
        <v>59</v>
      </c>
      <c r="G121" s="5">
        <v>72</v>
      </c>
      <c r="H121" s="5">
        <v>78</v>
      </c>
      <c r="I121" s="5">
        <v>80</v>
      </c>
      <c r="J121" s="5">
        <f>SUM(E121:I121)</f>
        <v>362</v>
      </c>
      <c r="K121" s="5">
        <v>235</v>
      </c>
      <c r="L121" s="5">
        <v>3</v>
      </c>
      <c r="M121" s="5">
        <v>10</v>
      </c>
      <c r="N121" s="5">
        <v>17</v>
      </c>
      <c r="O121" s="5">
        <v>22</v>
      </c>
      <c r="P121" s="5">
        <v>1.5</v>
      </c>
      <c r="Q121" s="5">
        <f>MAX(25, INT(POWER(2.2,J121/45)))</f>
        <v>568</v>
      </c>
      <c r="R121" s="5">
        <v>0</v>
      </c>
      <c r="S121" s="5">
        <v>3</v>
      </c>
      <c r="T121" s="5" t="s">
        <v>306</v>
      </c>
      <c r="U121" s="5"/>
      <c r="V121" s="5" t="s">
        <v>408</v>
      </c>
      <c r="W121" s="5"/>
      <c r="X121" s="5" t="s">
        <v>196</v>
      </c>
      <c r="Y121" s="10" t="s">
        <v>175</v>
      </c>
      <c r="Z121" s="5" t="s">
        <v>523</v>
      </c>
      <c r="AA121">
        <f>COUNTIF([1]Sheet1!$Q:$R, "*"&amp; A121&amp;"*")</f>
        <v>1</v>
      </c>
    </row>
    <row r="122" spans="1:27" x14ac:dyDescent="0.2">
      <c r="A122" s="5">
        <v>103023</v>
      </c>
      <c r="B122" s="5" t="s">
        <v>128</v>
      </c>
      <c r="C122" s="5">
        <v>1</v>
      </c>
      <c r="D122" s="5">
        <f>INT(E122/3)</f>
        <v>28</v>
      </c>
      <c r="E122" s="5">
        <v>86</v>
      </c>
      <c r="F122" s="5">
        <v>78</v>
      </c>
      <c r="G122" s="5">
        <v>81</v>
      </c>
      <c r="H122" s="5">
        <v>80</v>
      </c>
      <c r="I122" s="5">
        <v>82</v>
      </c>
      <c r="J122" s="5">
        <f>SUM(E122:I122)</f>
        <v>407</v>
      </c>
      <c r="K122" s="5">
        <v>290</v>
      </c>
      <c r="L122" s="5">
        <v>3</v>
      </c>
      <c r="M122" s="5">
        <v>10</v>
      </c>
      <c r="N122" s="5">
        <v>17</v>
      </c>
      <c r="O122" s="5"/>
      <c r="P122" s="5"/>
      <c r="Q122" s="5">
        <f>MAX(25, INT(POWER(2.2,J122/45)))</f>
        <v>1250</v>
      </c>
      <c r="R122" s="5">
        <v>0</v>
      </c>
      <c r="S122" s="5">
        <v>1</v>
      </c>
      <c r="T122" s="5" t="s">
        <v>297</v>
      </c>
      <c r="U122" s="5"/>
      <c r="V122" s="5" t="s">
        <v>398</v>
      </c>
      <c r="W122" s="5"/>
      <c r="X122" s="5" t="s">
        <v>194</v>
      </c>
      <c r="Y122" s="10" t="s">
        <v>78</v>
      </c>
      <c r="Z122" s="5" t="s">
        <v>524</v>
      </c>
      <c r="AA122">
        <f>COUNTIF([1]Sheet1!$Q:$R, "*"&amp; A122&amp;"*")</f>
        <v>1</v>
      </c>
    </row>
    <row r="123" spans="1:27" x14ac:dyDescent="0.2">
      <c r="A123" s="5">
        <v>103024</v>
      </c>
      <c r="B123" s="5" t="s">
        <v>129</v>
      </c>
      <c r="C123" s="5">
        <v>1</v>
      </c>
      <c r="D123" s="5">
        <f>INT(E123/3)</f>
        <v>28</v>
      </c>
      <c r="E123" s="5">
        <v>84</v>
      </c>
      <c r="F123" s="5">
        <v>78</v>
      </c>
      <c r="G123" s="5">
        <v>80</v>
      </c>
      <c r="H123" s="5">
        <v>79</v>
      </c>
      <c r="I123" s="5">
        <v>84</v>
      </c>
      <c r="J123" s="5">
        <f>SUM(E123:I123)</f>
        <v>405</v>
      </c>
      <c r="K123" s="5">
        <v>300</v>
      </c>
      <c r="L123" s="5">
        <v>3</v>
      </c>
      <c r="M123" s="5">
        <v>10</v>
      </c>
      <c r="N123" s="5">
        <v>17</v>
      </c>
      <c r="O123" s="5"/>
      <c r="P123" s="5"/>
      <c r="Q123" s="5">
        <f>MAX(25, INT(POWER(2.2,J123/45)))</f>
        <v>1207</v>
      </c>
      <c r="R123" s="5">
        <v>0</v>
      </c>
      <c r="S123" s="5">
        <v>1</v>
      </c>
      <c r="T123" s="5" t="s">
        <v>299</v>
      </c>
      <c r="U123" s="5"/>
      <c r="V123" s="5" t="s">
        <v>362</v>
      </c>
      <c r="W123" s="5" t="s">
        <v>393</v>
      </c>
      <c r="X123" s="5" t="s">
        <v>330</v>
      </c>
      <c r="Y123" s="10" t="s">
        <v>78</v>
      </c>
      <c r="Z123" s="5" t="s">
        <v>525</v>
      </c>
      <c r="AA123">
        <f>COUNTIF([1]Sheet1!$Q:$R, "*"&amp; A123&amp;"*")</f>
        <v>1</v>
      </c>
    </row>
    <row r="124" spans="1:27" x14ac:dyDescent="0.2">
      <c r="A124" s="5">
        <v>103025</v>
      </c>
      <c r="B124" s="5" t="s">
        <v>159</v>
      </c>
      <c r="C124" s="5">
        <v>1</v>
      </c>
      <c r="D124" s="5">
        <f>INT(E124/3)</f>
        <v>22</v>
      </c>
      <c r="E124" s="5">
        <v>68</v>
      </c>
      <c r="F124" s="5">
        <v>85</v>
      </c>
      <c r="G124" s="5">
        <v>50</v>
      </c>
      <c r="H124" s="5">
        <v>86</v>
      </c>
      <c r="I124" s="5">
        <v>82</v>
      </c>
      <c r="J124" s="5">
        <f>SUM(E124:I124)</f>
        <v>371</v>
      </c>
      <c r="K124" s="5">
        <v>250</v>
      </c>
      <c r="L124" s="5">
        <v>3</v>
      </c>
      <c r="M124" s="5">
        <v>10</v>
      </c>
      <c r="N124" s="5">
        <v>17</v>
      </c>
      <c r="O124" s="5">
        <v>18</v>
      </c>
      <c r="P124" s="5"/>
      <c r="Q124" s="5">
        <f>MAX(25, INT(POWER(2.2,J124/45)))</f>
        <v>665</v>
      </c>
      <c r="R124" s="5">
        <v>0</v>
      </c>
      <c r="S124" s="5">
        <v>3</v>
      </c>
      <c r="T124" s="5" t="s">
        <v>304</v>
      </c>
      <c r="U124" s="5"/>
      <c r="V124" s="5" t="s">
        <v>338</v>
      </c>
      <c r="W124" s="5"/>
      <c r="X124" s="5" t="s">
        <v>203</v>
      </c>
      <c r="Y124" s="10" t="s">
        <v>346</v>
      </c>
      <c r="Z124" s="5" t="s">
        <v>526</v>
      </c>
      <c r="AA124">
        <f>COUNTIF([1]Sheet1!$Q:$R, "*"&amp; A124&amp;"*")</f>
        <v>1</v>
      </c>
    </row>
    <row r="125" spans="1:27" x14ac:dyDescent="0.2">
      <c r="A125" s="5">
        <v>103026</v>
      </c>
      <c r="B125" s="5" t="s">
        <v>133</v>
      </c>
      <c r="C125" s="5">
        <v>1</v>
      </c>
      <c r="D125" s="5">
        <f>INT(E125/3)</f>
        <v>21</v>
      </c>
      <c r="E125" s="5">
        <v>65</v>
      </c>
      <c r="F125" s="5">
        <v>81</v>
      </c>
      <c r="G125" s="5">
        <v>60</v>
      </c>
      <c r="H125" s="5">
        <v>90</v>
      </c>
      <c r="I125" s="5">
        <v>85</v>
      </c>
      <c r="J125" s="5">
        <f>SUM(E125:I125)</f>
        <v>381</v>
      </c>
      <c r="K125" s="5">
        <v>300</v>
      </c>
      <c r="L125" s="5">
        <v>3</v>
      </c>
      <c r="M125" s="5">
        <v>10</v>
      </c>
      <c r="N125" s="5">
        <v>17</v>
      </c>
      <c r="O125" s="5">
        <v>15</v>
      </c>
      <c r="P125" s="5"/>
      <c r="Q125" s="5">
        <f>MAX(25, INT(POWER(2.2,J125/45)))</f>
        <v>792</v>
      </c>
      <c r="R125" s="5">
        <v>0</v>
      </c>
      <c r="S125" s="5">
        <v>3</v>
      </c>
      <c r="T125" s="5" t="s">
        <v>305</v>
      </c>
      <c r="U125" s="5"/>
      <c r="V125" s="5" t="s">
        <v>314</v>
      </c>
      <c r="W125" s="5"/>
      <c r="X125" s="5" t="s">
        <v>197</v>
      </c>
      <c r="Y125" s="10" t="s">
        <v>344</v>
      </c>
      <c r="Z125" s="5" t="s">
        <v>527</v>
      </c>
      <c r="AA125">
        <f>COUNTIF([1]Sheet1!$Q:$R, "*"&amp; A125&amp;"*")</f>
        <v>1</v>
      </c>
    </row>
    <row r="126" spans="1:27" x14ac:dyDescent="0.2">
      <c r="A126" s="5">
        <v>103027</v>
      </c>
      <c r="B126" s="5" t="s">
        <v>130</v>
      </c>
      <c r="C126" s="5">
        <v>1</v>
      </c>
      <c r="D126" s="5">
        <f>INT(E126/3)</f>
        <v>23</v>
      </c>
      <c r="E126" s="5">
        <v>70</v>
      </c>
      <c r="F126" s="5">
        <v>80</v>
      </c>
      <c r="G126" s="5">
        <v>65</v>
      </c>
      <c r="H126" s="5">
        <v>85</v>
      </c>
      <c r="I126" s="5">
        <v>78</v>
      </c>
      <c r="J126" s="5">
        <f>SUM(E126:I126)</f>
        <v>378</v>
      </c>
      <c r="K126" s="5">
        <v>315</v>
      </c>
      <c r="L126" s="5">
        <v>3</v>
      </c>
      <c r="M126" s="5">
        <v>10</v>
      </c>
      <c r="N126" s="5">
        <v>17</v>
      </c>
      <c r="O126" s="5">
        <v>35</v>
      </c>
      <c r="P126" s="5"/>
      <c r="Q126" s="5">
        <f>MAX(25, INT(POWER(2.2,J126/45)))</f>
        <v>752</v>
      </c>
      <c r="R126" s="5">
        <v>0</v>
      </c>
      <c r="S126" s="5">
        <v>3</v>
      </c>
      <c r="T126" s="5" t="s">
        <v>311</v>
      </c>
      <c r="U126" s="5"/>
      <c r="V126" s="5" t="s">
        <v>392</v>
      </c>
      <c r="W126" s="5"/>
      <c r="X126" s="5" t="s">
        <v>327</v>
      </c>
      <c r="Y126" s="10" t="s">
        <v>345</v>
      </c>
      <c r="Z126" s="5" t="s">
        <v>528</v>
      </c>
      <c r="AA126">
        <f>COUNTIF([1]Sheet1!$Q:$R, "*"&amp; A126&amp;"*")</f>
        <v>1</v>
      </c>
    </row>
    <row r="127" spans="1:27" x14ac:dyDescent="0.2">
      <c r="A127" s="5">
        <v>103028</v>
      </c>
      <c r="B127" s="5" t="s">
        <v>134</v>
      </c>
      <c r="C127" s="5">
        <v>1</v>
      </c>
      <c r="D127" s="5">
        <f>INT(E127/3)</f>
        <v>20</v>
      </c>
      <c r="E127" s="5">
        <v>62</v>
      </c>
      <c r="F127" s="5">
        <v>84</v>
      </c>
      <c r="G127" s="5">
        <v>55</v>
      </c>
      <c r="H127" s="5">
        <v>82</v>
      </c>
      <c r="I127" s="5">
        <v>80</v>
      </c>
      <c r="J127" s="5">
        <f>SUM(E127:I127)</f>
        <v>363</v>
      </c>
      <c r="K127" s="5">
        <v>260</v>
      </c>
      <c r="L127" s="5">
        <v>3</v>
      </c>
      <c r="M127" s="5">
        <v>10</v>
      </c>
      <c r="N127" s="5">
        <v>17</v>
      </c>
      <c r="O127" s="5">
        <v>15</v>
      </c>
      <c r="P127" s="5"/>
      <c r="Q127" s="5">
        <f>MAX(25, INT(POWER(2.2,J127/45)))</f>
        <v>578</v>
      </c>
      <c r="R127" s="5">
        <v>0</v>
      </c>
      <c r="S127" s="5">
        <v>3</v>
      </c>
      <c r="T127" s="5" t="s">
        <v>303</v>
      </c>
      <c r="U127" s="5"/>
      <c r="V127" s="5" t="s">
        <v>400</v>
      </c>
      <c r="W127" s="5"/>
      <c r="X127" s="5" t="s">
        <v>197</v>
      </c>
      <c r="Y127" s="10" t="s">
        <v>77</v>
      </c>
      <c r="Z127" s="5" t="s">
        <v>529</v>
      </c>
      <c r="AA127">
        <f>COUNTIF([1]Sheet1!$Q:$R, "*"&amp; A127&amp;"*")</f>
        <v>1</v>
      </c>
    </row>
    <row r="128" spans="1:27" x14ac:dyDescent="0.2">
      <c r="A128" s="5">
        <v>103029</v>
      </c>
      <c r="B128" s="5" t="s">
        <v>141</v>
      </c>
      <c r="C128" s="5">
        <v>1</v>
      </c>
      <c r="D128" s="5">
        <f>INT(E128/3)</f>
        <v>25</v>
      </c>
      <c r="E128" s="5">
        <v>76</v>
      </c>
      <c r="F128" s="5">
        <v>62</v>
      </c>
      <c r="G128" s="5">
        <v>85</v>
      </c>
      <c r="H128" s="5">
        <v>70</v>
      </c>
      <c r="I128" s="5">
        <v>78</v>
      </c>
      <c r="J128" s="5">
        <f>SUM(E128:I128)</f>
        <v>371</v>
      </c>
      <c r="K128" s="5">
        <v>300</v>
      </c>
      <c r="L128" s="5">
        <v>3</v>
      </c>
      <c r="M128" s="5">
        <v>10</v>
      </c>
      <c r="N128" s="5">
        <v>17</v>
      </c>
      <c r="O128" s="5"/>
      <c r="P128" s="5"/>
      <c r="Q128" s="5">
        <f>MAX(25, INT(POWER(2.2,J128/45)))</f>
        <v>665</v>
      </c>
      <c r="R128" s="5">
        <v>0</v>
      </c>
      <c r="S128" s="5">
        <v>1</v>
      </c>
      <c r="T128" s="5" t="s">
        <v>299</v>
      </c>
      <c r="U128" s="5"/>
      <c r="V128" s="5" t="s">
        <v>339</v>
      </c>
      <c r="W128" s="5"/>
      <c r="X128" s="5" t="s">
        <v>205</v>
      </c>
      <c r="Y128" s="10" t="s">
        <v>78</v>
      </c>
      <c r="Z128" s="5" t="s">
        <v>530</v>
      </c>
      <c r="AA128">
        <f>COUNTIF([1]Sheet1!$Q:$R, "*"&amp; A128&amp;"*")</f>
        <v>1</v>
      </c>
    </row>
    <row r="129" spans="1:27" x14ac:dyDescent="0.2">
      <c r="A129" s="5">
        <v>103030</v>
      </c>
      <c r="B129" s="5" t="s">
        <v>142</v>
      </c>
      <c r="C129" s="5">
        <v>1</v>
      </c>
      <c r="D129" s="5">
        <f>INT(E129/3)</f>
        <v>30</v>
      </c>
      <c r="E129" s="5">
        <v>91</v>
      </c>
      <c r="F129" s="5">
        <v>87</v>
      </c>
      <c r="G129" s="5">
        <v>63</v>
      </c>
      <c r="H129" s="5">
        <v>88</v>
      </c>
      <c r="I129" s="5">
        <v>86</v>
      </c>
      <c r="J129" s="5">
        <f>SUM(E129:I129)</f>
        <v>415</v>
      </c>
      <c r="K129" s="5">
        <v>195</v>
      </c>
      <c r="L129" s="5">
        <v>3</v>
      </c>
      <c r="M129" s="5">
        <v>10</v>
      </c>
      <c r="N129" s="5">
        <v>17</v>
      </c>
      <c r="O129" s="5">
        <v>30</v>
      </c>
      <c r="P129" s="5">
        <v>1.5</v>
      </c>
      <c r="Q129" s="5">
        <f>MAX(25, INT(POWER(2.2,J129/45)))</f>
        <v>1438</v>
      </c>
      <c r="R129" s="5">
        <v>0</v>
      </c>
      <c r="S129" s="5">
        <v>3</v>
      </c>
      <c r="T129" s="5" t="s">
        <v>302</v>
      </c>
      <c r="U129" s="5"/>
      <c r="V129" s="5" t="s">
        <v>337</v>
      </c>
      <c r="W129" s="5"/>
      <c r="X129" s="5" t="s">
        <v>196</v>
      </c>
      <c r="Y129" s="10" t="s">
        <v>175</v>
      </c>
      <c r="Z129" s="5" t="s">
        <v>531</v>
      </c>
      <c r="AA129">
        <f>COUNTIF([1]Sheet1!$Q:$R, "*"&amp; A129&amp;"*")</f>
        <v>1</v>
      </c>
    </row>
    <row r="130" spans="1:27" x14ac:dyDescent="0.2">
      <c r="A130" s="5">
        <v>103031</v>
      </c>
      <c r="B130" s="5" t="s">
        <v>143</v>
      </c>
      <c r="C130" s="5">
        <v>1</v>
      </c>
      <c r="D130" s="5">
        <f>INT(E130/3)</f>
        <v>24</v>
      </c>
      <c r="E130" s="5">
        <v>72</v>
      </c>
      <c r="F130" s="5">
        <v>90</v>
      </c>
      <c r="G130" s="5">
        <v>47</v>
      </c>
      <c r="H130" s="5">
        <v>80</v>
      </c>
      <c r="I130" s="5">
        <v>60</v>
      </c>
      <c r="J130" s="5">
        <f>SUM(E130:I130)</f>
        <v>349</v>
      </c>
      <c r="K130" s="5">
        <v>235</v>
      </c>
      <c r="L130" s="5">
        <v>3</v>
      </c>
      <c r="M130" s="5">
        <v>10</v>
      </c>
      <c r="N130" s="5">
        <v>17</v>
      </c>
      <c r="O130" s="5">
        <v>15</v>
      </c>
      <c r="P130" s="5"/>
      <c r="Q130" s="5">
        <f>MAX(25, INT(POWER(2.2,J130/45)))</f>
        <v>452</v>
      </c>
      <c r="R130" s="5">
        <v>0</v>
      </c>
      <c r="S130" s="5">
        <v>3</v>
      </c>
      <c r="T130" s="5" t="s">
        <v>303</v>
      </c>
      <c r="U130" s="5"/>
      <c r="V130" s="5" t="s">
        <v>394</v>
      </c>
      <c r="W130" s="5"/>
      <c r="X130" s="5" t="s">
        <v>197</v>
      </c>
      <c r="Y130" s="10" t="s">
        <v>77</v>
      </c>
      <c r="Z130" s="5" t="s">
        <v>532</v>
      </c>
      <c r="AA130">
        <f>COUNTIF([1]Sheet1!$Q:$R, "*"&amp; A130&amp;"*")</f>
        <v>1</v>
      </c>
    </row>
    <row r="131" spans="1:27" x14ac:dyDescent="0.2">
      <c r="A131" s="5">
        <v>103032</v>
      </c>
      <c r="B131" s="5" t="s">
        <v>144</v>
      </c>
      <c r="C131" s="5">
        <v>1</v>
      </c>
      <c r="D131" s="5">
        <f>INT(E131/3)</f>
        <v>23</v>
      </c>
      <c r="E131" s="5">
        <v>69</v>
      </c>
      <c r="F131" s="5">
        <v>66</v>
      </c>
      <c r="G131" s="5">
        <v>63</v>
      </c>
      <c r="H131" s="5">
        <v>72</v>
      </c>
      <c r="I131" s="5">
        <v>70</v>
      </c>
      <c r="J131" s="5">
        <f>SUM(E131:I131)</f>
        <v>340</v>
      </c>
      <c r="K131" s="5">
        <v>330</v>
      </c>
      <c r="L131" s="5">
        <v>3</v>
      </c>
      <c r="M131" s="5">
        <v>10</v>
      </c>
      <c r="N131" s="5">
        <v>17</v>
      </c>
      <c r="O131" s="5"/>
      <c r="P131" s="5"/>
      <c r="Q131" s="5">
        <f>MAX(25, INT(POWER(2.2,J131/45)))</f>
        <v>386</v>
      </c>
      <c r="R131" s="5">
        <v>0</v>
      </c>
      <c r="S131" s="5">
        <v>1</v>
      </c>
      <c r="T131" s="5" t="s">
        <v>309</v>
      </c>
      <c r="U131" s="5"/>
      <c r="V131" s="5" t="s">
        <v>407</v>
      </c>
      <c r="W131" s="5"/>
      <c r="X131" s="5" t="s">
        <v>325</v>
      </c>
      <c r="Y131" s="10" t="s">
        <v>78</v>
      </c>
      <c r="Z131" s="5" t="s">
        <v>533</v>
      </c>
      <c r="AA131">
        <f>COUNTIF([1]Sheet1!$Q:$R, "*"&amp; A131&amp;"*")</f>
        <v>1</v>
      </c>
    </row>
    <row r="132" spans="1:27" x14ac:dyDescent="0.2">
      <c r="A132" s="5">
        <v>103033</v>
      </c>
      <c r="B132" s="5" t="s">
        <v>145</v>
      </c>
      <c r="C132" s="5">
        <v>1</v>
      </c>
      <c r="D132" s="5">
        <f>INT(E132/3)</f>
        <v>26</v>
      </c>
      <c r="E132" s="5">
        <v>78</v>
      </c>
      <c r="F132" s="5">
        <v>75</v>
      </c>
      <c r="G132" s="5">
        <v>72</v>
      </c>
      <c r="H132" s="5">
        <v>78</v>
      </c>
      <c r="I132" s="5">
        <v>75</v>
      </c>
      <c r="J132" s="5">
        <f>SUM(E132:I132)</f>
        <v>378</v>
      </c>
      <c r="K132" s="5">
        <v>310</v>
      </c>
      <c r="L132" s="5">
        <v>3</v>
      </c>
      <c r="M132" s="5">
        <v>10</v>
      </c>
      <c r="N132" s="5">
        <v>17</v>
      </c>
      <c r="O132" s="5"/>
      <c r="P132" s="5"/>
      <c r="Q132" s="5">
        <f>MAX(25, INT(POWER(2.2,J132/45)))</f>
        <v>752</v>
      </c>
      <c r="R132" s="5">
        <v>0</v>
      </c>
      <c r="S132" s="5">
        <v>1</v>
      </c>
      <c r="T132" s="5" t="s">
        <v>299</v>
      </c>
      <c r="U132" s="5"/>
      <c r="V132" s="5" t="s">
        <v>362</v>
      </c>
      <c r="W132" s="5"/>
      <c r="X132" s="5" t="s">
        <v>325</v>
      </c>
      <c r="Y132" s="10" t="s">
        <v>78</v>
      </c>
      <c r="Z132" s="5" t="s">
        <v>534</v>
      </c>
      <c r="AA132">
        <f>COUNTIF([1]Sheet1!$Q:$R, "*"&amp; A132&amp;"*")</f>
        <v>1</v>
      </c>
    </row>
    <row r="133" spans="1:27" x14ac:dyDescent="0.2">
      <c r="A133" s="5">
        <v>103034</v>
      </c>
      <c r="B133" s="5" t="s">
        <v>150</v>
      </c>
      <c r="C133" s="5">
        <v>1</v>
      </c>
      <c r="D133" s="5">
        <f>INT(E133/3)</f>
        <v>25</v>
      </c>
      <c r="E133" s="5">
        <v>76</v>
      </c>
      <c r="F133" s="5">
        <v>47</v>
      </c>
      <c r="G133" s="5">
        <v>87</v>
      </c>
      <c r="H133" s="5">
        <v>65</v>
      </c>
      <c r="I133" s="5">
        <v>75</v>
      </c>
      <c r="J133" s="5">
        <f>SUM(E133:I133)</f>
        <v>350</v>
      </c>
      <c r="K133" s="5">
        <v>305</v>
      </c>
      <c r="L133" s="5">
        <v>3</v>
      </c>
      <c r="M133" s="5">
        <v>10</v>
      </c>
      <c r="N133" s="5">
        <v>17</v>
      </c>
      <c r="O133" s="5"/>
      <c r="P133" s="5"/>
      <c r="Q133" s="5">
        <f>MAX(25, INT(POWER(2.2,J133/45)))</f>
        <v>460</v>
      </c>
      <c r="R133" s="5">
        <v>0</v>
      </c>
      <c r="S133" s="5">
        <v>1</v>
      </c>
      <c r="T133" s="5" t="s">
        <v>300</v>
      </c>
      <c r="U133" s="5"/>
      <c r="V133" s="5" t="s">
        <v>380</v>
      </c>
      <c r="W133" s="5"/>
      <c r="X133" s="5" t="s">
        <v>201</v>
      </c>
      <c r="Y133" s="10" t="s">
        <v>78</v>
      </c>
      <c r="Z133" s="5" t="s">
        <v>535</v>
      </c>
      <c r="AA133">
        <f>COUNTIF([1]Sheet1!$Q:$R, "*"&amp; A133&amp;"*")</f>
        <v>1</v>
      </c>
    </row>
    <row r="134" spans="1:27" x14ac:dyDescent="0.2">
      <c r="A134" s="5">
        <v>103035</v>
      </c>
      <c r="B134" s="5" t="s">
        <v>152</v>
      </c>
      <c r="C134" s="5">
        <v>1</v>
      </c>
      <c r="D134" s="5">
        <f>INT(E134/3)</f>
        <v>26</v>
      </c>
      <c r="E134" s="5">
        <v>79</v>
      </c>
      <c r="F134" s="5">
        <v>71</v>
      </c>
      <c r="G134" s="5">
        <v>69</v>
      </c>
      <c r="H134" s="5">
        <v>80</v>
      </c>
      <c r="I134" s="5">
        <v>78</v>
      </c>
      <c r="J134" s="5">
        <f>SUM(E134:I134)</f>
        <v>377</v>
      </c>
      <c r="K134" s="5">
        <v>315</v>
      </c>
      <c r="L134" s="5">
        <v>3</v>
      </c>
      <c r="M134" s="5">
        <v>10</v>
      </c>
      <c r="N134" s="5">
        <v>17</v>
      </c>
      <c r="O134" s="5"/>
      <c r="P134" s="5"/>
      <c r="Q134" s="5">
        <f>MAX(25, INT(POWER(2.2,J134/45)))</f>
        <v>739</v>
      </c>
      <c r="R134" s="5">
        <v>0</v>
      </c>
      <c r="S134" s="5">
        <v>1</v>
      </c>
      <c r="T134" s="5" t="s">
        <v>300</v>
      </c>
      <c r="U134" s="5"/>
      <c r="V134" s="5" t="s">
        <v>367</v>
      </c>
      <c r="W134" s="5"/>
      <c r="X134" s="5" t="s">
        <v>325</v>
      </c>
      <c r="Y134" s="10" t="s">
        <v>78</v>
      </c>
      <c r="Z134" s="5" t="s">
        <v>536</v>
      </c>
      <c r="AA134">
        <f>COUNTIF([1]Sheet1!$Q:$R, "*"&amp; A134&amp;"*")</f>
        <v>1</v>
      </c>
    </row>
    <row r="135" spans="1:27" x14ac:dyDescent="0.2">
      <c r="A135" s="5">
        <v>103036</v>
      </c>
      <c r="B135" s="5" t="s">
        <v>232</v>
      </c>
      <c r="C135" s="5">
        <v>1</v>
      </c>
      <c r="D135" s="5">
        <f>INT(E135/3)</f>
        <v>26</v>
      </c>
      <c r="E135" s="5">
        <v>80</v>
      </c>
      <c r="F135" s="5">
        <v>76</v>
      </c>
      <c r="G135" s="5">
        <v>79</v>
      </c>
      <c r="H135" s="5">
        <v>75</v>
      </c>
      <c r="I135" s="5">
        <v>78</v>
      </c>
      <c r="J135" s="5">
        <f>SUM(E135:I135)</f>
        <v>388</v>
      </c>
      <c r="K135" s="5">
        <v>310</v>
      </c>
      <c r="L135" s="5">
        <v>3</v>
      </c>
      <c r="M135" s="5">
        <v>10</v>
      </c>
      <c r="N135" s="5">
        <v>17</v>
      </c>
      <c r="O135" s="5"/>
      <c r="P135" s="5"/>
      <c r="Q135" s="5">
        <f>MAX(25, INT(POWER(2.2,J135/45)))</f>
        <v>896</v>
      </c>
      <c r="R135" s="5">
        <v>0</v>
      </c>
      <c r="S135" s="5">
        <v>1</v>
      </c>
      <c r="T135" s="5" t="s">
        <v>299</v>
      </c>
      <c r="U135" s="5"/>
      <c r="V135" s="5" t="s">
        <v>402</v>
      </c>
      <c r="W135" s="5"/>
      <c r="X135" s="5" t="s">
        <v>325</v>
      </c>
      <c r="Y135" s="10" t="s">
        <v>78</v>
      </c>
      <c r="Z135" s="5" t="s">
        <v>537</v>
      </c>
      <c r="AA135">
        <f>COUNTIF([1]Sheet1!$Q:$R, "*"&amp; A135&amp;"*")</f>
        <v>1</v>
      </c>
    </row>
    <row r="136" spans="1:27" x14ac:dyDescent="0.2">
      <c r="A136" s="5">
        <v>103037</v>
      </c>
      <c r="B136" s="5" t="s">
        <v>155</v>
      </c>
      <c r="C136" s="5">
        <v>1</v>
      </c>
      <c r="D136" s="5">
        <f>INT(E136/3)</f>
        <v>27</v>
      </c>
      <c r="E136" s="5">
        <v>82</v>
      </c>
      <c r="F136" s="5">
        <v>76</v>
      </c>
      <c r="G136" s="5">
        <v>73</v>
      </c>
      <c r="H136" s="5">
        <v>75</v>
      </c>
      <c r="I136" s="5">
        <v>76</v>
      </c>
      <c r="J136" s="5">
        <f>SUM(E136:I136)</f>
        <v>382</v>
      </c>
      <c r="K136" s="5">
        <v>315</v>
      </c>
      <c r="L136" s="5">
        <v>3</v>
      </c>
      <c r="M136" s="5">
        <v>10</v>
      </c>
      <c r="N136" s="5">
        <v>17</v>
      </c>
      <c r="O136" s="5"/>
      <c r="P136" s="5"/>
      <c r="Q136" s="5">
        <f>MAX(25, INT(POWER(2.2,J136/45)))</f>
        <v>806</v>
      </c>
      <c r="R136" s="5">
        <v>0</v>
      </c>
      <c r="S136" s="5">
        <v>1</v>
      </c>
      <c r="T136" s="5" t="s">
        <v>299</v>
      </c>
      <c r="U136" s="5"/>
      <c r="V136" s="5" t="s">
        <v>368</v>
      </c>
      <c r="W136" s="5"/>
      <c r="X136" s="5" t="s">
        <v>325</v>
      </c>
      <c r="Y136" s="10" t="s">
        <v>78</v>
      </c>
      <c r="Z136" s="5" t="s">
        <v>538</v>
      </c>
      <c r="AA136">
        <f>COUNTIF([1]Sheet1!$Q:$R, "*"&amp; A136&amp;"*")</f>
        <v>1</v>
      </c>
    </row>
    <row r="137" spans="1:27" x14ac:dyDescent="0.2">
      <c r="A137" s="5">
        <v>103038</v>
      </c>
      <c r="B137" s="5" t="s">
        <v>158</v>
      </c>
      <c r="C137" s="5">
        <v>1</v>
      </c>
      <c r="D137" s="5">
        <f>INT(E137/3)</f>
        <v>20</v>
      </c>
      <c r="E137" s="5">
        <v>62</v>
      </c>
      <c r="F137" s="5">
        <v>82</v>
      </c>
      <c r="G137" s="5">
        <v>48</v>
      </c>
      <c r="H137" s="5">
        <v>84</v>
      </c>
      <c r="I137" s="5">
        <v>75</v>
      </c>
      <c r="J137" s="5">
        <f>SUM(E137:I137)</f>
        <v>351</v>
      </c>
      <c r="K137" s="5">
        <v>290</v>
      </c>
      <c r="L137" s="5">
        <v>3</v>
      </c>
      <c r="M137" s="5">
        <v>10</v>
      </c>
      <c r="N137" s="5">
        <v>17</v>
      </c>
      <c r="O137" s="5">
        <v>15</v>
      </c>
      <c r="P137" s="5"/>
      <c r="Q137" s="5">
        <f>MAX(25, INT(POWER(2.2,J137/45)))</f>
        <v>468</v>
      </c>
      <c r="R137" s="5">
        <v>0</v>
      </c>
      <c r="S137" s="5">
        <v>3</v>
      </c>
      <c r="T137" s="5" t="s">
        <v>305</v>
      </c>
      <c r="U137" s="5"/>
      <c r="V137" s="5" t="s">
        <v>388</v>
      </c>
      <c r="W137" s="5"/>
      <c r="X137" s="5" t="s">
        <v>197</v>
      </c>
      <c r="Y137" s="10" t="s">
        <v>344</v>
      </c>
      <c r="Z137" s="5" t="s">
        <v>539</v>
      </c>
      <c r="AA137">
        <f>COUNTIF([1]Sheet1!$Q:$R, "*"&amp; A137&amp;"*")</f>
        <v>1</v>
      </c>
    </row>
    <row r="138" spans="1:27" x14ac:dyDescent="0.2">
      <c r="A138" s="5">
        <v>104001</v>
      </c>
      <c r="B138" s="5" t="s">
        <v>103</v>
      </c>
      <c r="C138" s="5">
        <v>1</v>
      </c>
      <c r="D138" s="5">
        <f>INT(E138/3)</f>
        <v>32</v>
      </c>
      <c r="E138" s="5">
        <v>97</v>
      </c>
      <c r="F138" s="5">
        <v>43</v>
      </c>
      <c r="G138" s="5">
        <v>100</v>
      </c>
      <c r="H138" s="5">
        <v>40</v>
      </c>
      <c r="I138" s="5">
        <v>50</v>
      </c>
      <c r="J138" s="5">
        <f>SUM(E138:I138)</f>
        <v>330</v>
      </c>
      <c r="K138" s="5">
        <v>310</v>
      </c>
      <c r="L138" s="5">
        <v>4</v>
      </c>
      <c r="M138" s="5">
        <v>10</v>
      </c>
      <c r="N138" s="5">
        <v>17</v>
      </c>
      <c r="O138" s="5"/>
      <c r="P138" s="5"/>
      <c r="Q138" s="5">
        <f>MAX(25, INT(POWER(2.2,J138/45)))</f>
        <v>324</v>
      </c>
      <c r="R138" s="5">
        <v>0</v>
      </c>
      <c r="S138" s="5">
        <v>1</v>
      </c>
      <c r="T138" s="5" t="s">
        <v>298</v>
      </c>
      <c r="U138" s="5"/>
      <c r="V138" s="5" t="s">
        <v>361</v>
      </c>
      <c r="W138" s="5" t="s">
        <v>397</v>
      </c>
      <c r="X138" s="5" t="s">
        <v>198</v>
      </c>
      <c r="Y138" s="10" t="s">
        <v>351</v>
      </c>
      <c r="Z138" s="5" t="s">
        <v>540</v>
      </c>
      <c r="AA138">
        <f>COUNTIF([1]Sheet1!$Q:$R, "*"&amp; A138&amp;"*")</f>
        <v>1</v>
      </c>
    </row>
    <row r="139" spans="1:27" x14ac:dyDescent="0.2">
      <c r="A139" s="5">
        <v>104002</v>
      </c>
      <c r="B139" s="5" t="s">
        <v>243</v>
      </c>
      <c r="C139" s="5">
        <v>1</v>
      </c>
      <c r="D139" s="5">
        <f>INT(E139/3)</f>
        <v>29</v>
      </c>
      <c r="E139" s="5">
        <v>88</v>
      </c>
      <c r="F139" s="5">
        <v>60</v>
      </c>
      <c r="G139" s="5">
        <v>90</v>
      </c>
      <c r="H139" s="5">
        <v>55</v>
      </c>
      <c r="I139" s="5">
        <v>65</v>
      </c>
      <c r="J139" s="5">
        <f>SUM(E139:I139)</f>
        <v>358</v>
      </c>
      <c r="K139" s="5">
        <v>310</v>
      </c>
      <c r="L139" s="5">
        <v>4</v>
      </c>
      <c r="M139" s="5">
        <v>10</v>
      </c>
      <c r="N139" s="5">
        <v>17</v>
      </c>
      <c r="O139" s="5"/>
      <c r="P139" s="5"/>
      <c r="Q139" s="5">
        <f>MAX(25, INT(POWER(2.2,J139/45)))</f>
        <v>529</v>
      </c>
      <c r="R139" s="5">
        <v>0</v>
      </c>
      <c r="S139" s="5">
        <v>1</v>
      </c>
      <c r="T139" s="5" t="s">
        <v>298</v>
      </c>
      <c r="U139" s="5"/>
      <c r="V139" s="5" t="s">
        <v>403</v>
      </c>
      <c r="W139" s="5"/>
      <c r="X139" s="5" t="s">
        <v>198</v>
      </c>
      <c r="Y139" s="10" t="s">
        <v>78</v>
      </c>
      <c r="Z139" s="5" t="s">
        <v>541</v>
      </c>
      <c r="AA139">
        <f>COUNTIF([1]Sheet1!$Q:$R, "*"&amp; A139&amp;"*")</f>
        <v>1</v>
      </c>
    </row>
    <row r="140" spans="1:27" x14ac:dyDescent="0.2">
      <c r="A140" s="5">
        <v>104003</v>
      </c>
      <c r="B140" s="5" t="s">
        <v>43</v>
      </c>
      <c r="C140" s="5">
        <v>1</v>
      </c>
      <c r="D140" s="5">
        <f>INT(E140/3)</f>
        <v>28</v>
      </c>
      <c r="E140" s="5">
        <v>86</v>
      </c>
      <c r="F140" s="5">
        <v>97</v>
      </c>
      <c r="G140" s="5">
        <v>50</v>
      </c>
      <c r="H140" s="5">
        <v>85</v>
      </c>
      <c r="I140" s="5">
        <v>75</v>
      </c>
      <c r="J140" s="5">
        <f>SUM(E140:I140)</f>
        <v>393</v>
      </c>
      <c r="K140" s="5">
        <v>260</v>
      </c>
      <c r="L140" s="5">
        <v>4</v>
      </c>
      <c r="M140" s="5">
        <v>10</v>
      </c>
      <c r="N140" s="5">
        <v>17</v>
      </c>
      <c r="O140" s="5">
        <v>15</v>
      </c>
      <c r="P140" s="5"/>
      <c r="Q140" s="5">
        <f>MAX(25, INT(POWER(2.2,J140/45)))</f>
        <v>978</v>
      </c>
      <c r="R140" s="5">
        <v>0</v>
      </c>
      <c r="S140" s="5">
        <v>3</v>
      </c>
      <c r="T140" s="5" t="s">
        <v>303</v>
      </c>
      <c r="U140" s="5"/>
      <c r="V140" s="5" t="s">
        <v>315</v>
      </c>
      <c r="W140" s="5"/>
      <c r="X140" s="5" t="s">
        <v>197</v>
      </c>
      <c r="Y140" s="10" t="s">
        <v>77</v>
      </c>
      <c r="Z140" s="5" t="s">
        <v>542</v>
      </c>
      <c r="AA140">
        <f>COUNTIF([1]Sheet1!$Q:$R, "*"&amp; A140&amp;"*")</f>
        <v>1</v>
      </c>
    </row>
    <row r="141" spans="1:27" x14ac:dyDescent="0.2">
      <c r="A141" s="5">
        <v>104004</v>
      </c>
      <c r="B141" s="5" t="s">
        <v>116</v>
      </c>
      <c r="C141" s="5">
        <v>1</v>
      </c>
      <c r="D141" s="5">
        <f>INT(E141/3)</f>
        <v>9</v>
      </c>
      <c r="E141" s="5">
        <v>27</v>
      </c>
      <c r="F141" s="5">
        <v>81</v>
      </c>
      <c r="G141" s="5">
        <v>65</v>
      </c>
      <c r="H141" s="5">
        <v>70</v>
      </c>
      <c r="I141" s="5">
        <v>99</v>
      </c>
      <c r="J141" s="5">
        <f>SUM(E141:I141)</f>
        <v>342</v>
      </c>
      <c r="K141" s="5">
        <v>280</v>
      </c>
      <c r="L141" s="5">
        <v>4</v>
      </c>
      <c r="M141" s="5">
        <v>10</v>
      </c>
      <c r="N141" s="5">
        <v>17</v>
      </c>
      <c r="O141" s="5">
        <v>15</v>
      </c>
      <c r="P141" s="5"/>
      <c r="Q141" s="5">
        <f>MAX(25, INT(POWER(2.2,J141/45)))</f>
        <v>400</v>
      </c>
      <c r="R141" s="5">
        <v>0</v>
      </c>
      <c r="S141" s="5">
        <v>3</v>
      </c>
      <c r="T141" s="5" t="s">
        <v>307</v>
      </c>
      <c r="U141" s="5"/>
      <c r="V141" s="5" t="s">
        <v>376</v>
      </c>
      <c r="W141" s="5"/>
      <c r="X141" s="5" t="s">
        <v>203</v>
      </c>
      <c r="Y141" s="10" t="s">
        <v>77</v>
      </c>
      <c r="Z141" s="5" t="s">
        <v>543</v>
      </c>
      <c r="AA141">
        <f>COUNTIF([1]Sheet1!$Q:$R, "*"&amp; A141&amp;"*")</f>
        <v>1</v>
      </c>
    </row>
    <row r="142" spans="1:27" x14ac:dyDescent="0.2">
      <c r="A142" s="5">
        <v>104005</v>
      </c>
      <c r="B142" s="5" t="s">
        <v>151</v>
      </c>
      <c r="C142" s="5">
        <v>1</v>
      </c>
      <c r="D142" s="5">
        <f>INT(E142/3)</f>
        <v>26</v>
      </c>
      <c r="E142" s="5">
        <v>78</v>
      </c>
      <c r="F142" s="5">
        <v>53</v>
      </c>
      <c r="G142" s="5">
        <v>75</v>
      </c>
      <c r="H142" s="5">
        <v>70</v>
      </c>
      <c r="I142" s="5">
        <v>75</v>
      </c>
      <c r="J142" s="5">
        <f>SUM(E142:I142)</f>
        <v>351</v>
      </c>
      <c r="K142" s="5">
        <v>330</v>
      </c>
      <c r="L142" s="5">
        <v>4</v>
      </c>
      <c r="M142" s="5">
        <v>10</v>
      </c>
      <c r="N142" s="5">
        <v>17</v>
      </c>
      <c r="O142" s="5"/>
      <c r="P142" s="5"/>
      <c r="Q142" s="5">
        <f>MAX(25, INT(POWER(2.2,J142/45)))</f>
        <v>468</v>
      </c>
      <c r="R142" s="5">
        <v>0</v>
      </c>
      <c r="S142" s="5">
        <v>1</v>
      </c>
      <c r="T142" s="5" t="s">
        <v>310</v>
      </c>
      <c r="U142" s="5"/>
      <c r="V142" s="5" t="s">
        <v>389</v>
      </c>
      <c r="W142" s="5"/>
      <c r="X142" s="5" t="s">
        <v>324</v>
      </c>
      <c r="Y142" s="10" t="s">
        <v>78</v>
      </c>
      <c r="Z142" s="5" t="s">
        <v>544</v>
      </c>
      <c r="AA142">
        <f>COUNTIF([1]Sheet1!$Q:$R, "*"&amp; A142&amp;"*")</f>
        <v>1</v>
      </c>
    </row>
    <row r="143" spans="1:27" x14ac:dyDescent="0.2">
      <c r="A143" s="5">
        <v>104006</v>
      </c>
      <c r="B143" s="5" t="s">
        <v>156</v>
      </c>
      <c r="C143" s="5">
        <v>1</v>
      </c>
      <c r="D143" s="5">
        <f>INT(E143/3)</f>
        <v>28</v>
      </c>
      <c r="E143" s="5">
        <v>85</v>
      </c>
      <c r="F143" s="5">
        <v>63</v>
      </c>
      <c r="G143" s="5">
        <v>86</v>
      </c>
      <c r="H143" s="5">
        <v>75</v>
      </c>
      <c r="I143" s="5">
        <v>80</v>
      </c>
      <c r="J143" s="5">
        <f>SUM(E143:I143)</f>
        <v>389</v>
      </c>
      <c r="K143" s="5">
        <v>215</v>
      </c>
      <c r="L143" s="5">
        <v>4</v>
      </c>
      <c r="M143" s="5">
        <v>10</v>
      </c>
      <c r="N143" s="5">
        <v>17</v>
      </c>
      <c r="O143" s="5">
        <v>13</v>
      </c>
      <c r="P143" s="5">
        <v>2.5</v>
      </c>
      <c r="Q143" s="5">
        <f>MAX(25, INT(POWER(2.2,J143/45)))</f>
        <v>912</v>
      </c>
      <c r="R143" s="5">
        <v>0</v>
      </c>
      <c r="S143" s="5">
        <v>3</v>
      </c>
      <c r="T143" s="5" t="s">
        <v>301</v>
      </c>
      <c r="U143" s="5"/>
      <c r="V143" s="5"/>
      <c r="W143" s="5"/>
      <c r="X143" s="5" t="s">
        <v>196</v>
      </c>
      <c r="Y143" s="10" t="s">
        <v>382</v>
      </c>
      <c r="Z143" s="5" t="s">
        <v>545</v>
      </c>
      <c r="AA143">
        <f>COUNTIF([1]Sheet1!$Q:$R, "*"&amp; A143&amp;"*")</f>
        <v>1</v>
      </c>
    </row>
    <row r="144" spans="1:27" x14ac:dyDescent="0.2">
      <c r="A144" s="5">
        <v>104007</v>
      </c>
      <c r="B144" s="5" t="s">
        <v>225</v>
      </c>
      <c r="C144" s="5">
        <v>1</v>
      </c>
      <c r="D144" s="5">
        <f>INT(E144/3)</f>
        <v>21</v>
      </c>
      <c r="E144" s="5">
        <v>63</v>
      </c>
      <c r="F144" s="5">
        <v>91</v>
      </c>
      <c r="G144" s="5">
        <v>43</v>
      </c>
      <c r="H144" s="5">
        <v>80</v>
      </c>
      <c r="I144" s="5">
        <v>40</v>
      </c>
      <c r="J144" s="5">
        <f>SUM(E144:I144)</f>
        <v>317</v>
      </c>
      <c r="K144" s="5">
        <v>250</v>
      </c>
      <c r="L144" s="5">
        <v>4</v>
      </c>
      <c r="M144" s="5">
        <v>10</v>
      </c>
      <c r="N144" s="5">
        <v>17</v>
      </c>
      <c r="O144" s="5">
        <v>15</v>
      </c>
      <c r="P144" s="5"/>
      <c r="Q144" s="5">
        <f>MAX(25, INT(POWER(2.2,J144/45)))</f>
        <v>258</v>
      </c>
      <c r="R144" s="5">
        <v>0</v>
      </c>
      <c r="S144" s="5">
        <v>3</v>
      </c>
      <c r="T144" s="5" t="s">
        <v>303</v>
      </c>
      <c r="U144" s="5"/>
      <c r="V144" s="5" t="s">
        <v>381</v>
      </c>
      <c r="W144" s="5"/>
      <c r="X144" s="5" t="s">
        <v>197</v>
      </c>
      <c r="Y144" s="10" t="s">
        <v>174</v>
      </c>
      <c r="Z144" s="5" t="s">
        <v>546</v>
      </c>
      <c r="AA144">
        <f>COUNTIF([1]Sheet1!$Q:$R, "*"&amp; A144&amp;"*")</f>
        <v>1</v>
      </c>
    </row>
    <row r="145" spans="1:27" x14ac:dyDescent="0.2">
      <c r="A145" s="5">
        <v>104008</v>
      </c>
      <c r="B145" s="5" t="s">
        <v>226</v>
      </c>
      <c r="C145" s="5">
        <v>1</v>
      </c>
      <c r="D145" s="5">
        <f>INT(E145/3)</f>
        <v>23</v>
      </c>
      <c r="E145" s="5">
        <v>69</v>
      </c>
      <c r="F145" s="5">
        <v>29</v>
      </c>
      <c r="G145" s="5">
        <v>74</v>
      </c>
      <c r="H145" s="5">
        <v>45</v>
      </c>
      <c r="I145" s="5">
        <v>30</v>
      </c>
      <c r="J145" s="5">
        <f>SUM(E145:I145)</f>
        <v>247</v>
      </c>
      <c r="K145" s="5">
        <v>370</v>
      </c>
      <c r="L145" s="5">
        <v>4</v>
      </c>
      <c r="M145" s="5">
        <v>10</v>
      </c>
      <c r="N145" s="5">
        <v>17</v>
      </c>
      <c r="O145" s="5"/>
      <c r="P145" s="5"/>
      <c r="Q145" s="5">
        <f>MAX(25, INT(POWER(2.2,J145/45)))</f>
        <v>75</v>
      </c>
      <c r="R145" s="5">
        <v>0</v>
      </c>
      <c r="S145" s="5">
        <v>1</v>
      </c>
      <c r="T145" s="5" t="s">
        <v>309</v>
      </c>
      <c r="U145" s="5"/>
      <c r="V145" s="5" t="s">
        <v>335</v>
      </c>
      <c r="W145" s="5"/>
      <c r="X145" s="5" t="s">
        <v>319</v>
      </c>
      <c r="Y145" s="10" t="s">
        <v>78</v>
      </c>
      <c r="Z145" s="5" t="s">
        <v>547</v>
      </c>
      <c r="AA145">
        <f>COUNTIF([1]Sheet1!$Q:$R, "*"&amp; A145&amp;"*")</f>
        <v>1</v>
      </c>
    </row>
    <row r="146" spans="1:27" x14ac:dyDescent="0.2">
      <c r="A146" s="5">
        <v>104009</v>
      </c>
      <c r="B146" s="5" t="s">
        <v>227</v>
      </c>
      <c r="C146" s="5">
        <v>1</v>
      </c>
      <c r="D146" s="5">
        <f>INT(E146/3)</f>
        <v>21</v>
      </c>
      <c r="E146" s="5">
        <v>64</v>
      </c>
      <c r="F146" s="5">
        <v>18</v>
      </c>
      <c r="G146" s="5">
        <v>76</v>
      </c>
      <c r="H146" s="5">
        <v>40</v>
      </c>
      <c r="I146" s="5">
        <v>25</v>
      </c>
      <c r="J146" s="5">
        <f>SUM(E146:I146)</f>
        <v>223</v>
      </c>
      <c r="K146" s="5">
        <v>390</v>
      </c>
      <c r="L146" s="5">
        <v>4</v>
      </c>
      <c r="M146" s="5">
        <v>10</v>
      </c>
      <c r="N146" s="5">
        <v>17</v>
      </c>
      <c r="O146" s="5"/>
      <c r="P146" s="5"/>
      <c r="Q146" s="5">
        <f>MAX(25, INT(POWER(2.2,J146/45)))</f>
        <v>49</v>
      </c>
      <c r="R146" s="5">
        <v>0</v>
      </c>
      <c r="S146" s="5">
        <v>1</v>
      </c>
      <c r="T146" s="5" t="s">
        <v>309</v>
      </c>
      <c r="U146" s="5"/>
      <c r="V146" t="s">
        <v>335</v>
      </c>
      <c r="X146" s="5" t="s">
        <v>319</v>
      </c>
      <c r="Y146" s="10" t="s">
        <v>78</v>
      </c>
      <c r="Z146" s="5" t="s">
        <v>548</v>
      </c>
      <c r="AA146">
        <f>COUNTIF([1]Sheet1!$Q:$R, "*"&amp; A146&amp;"*")</f>
        <v>1</v>
      </c>
    </row>
    <row r="147" spans="1:27" x14ac:dyDescent="0.2">
      <c r="A147" s="5">
        <v>104010</v>
      </c>
      <c r="B147" s="5" t="s">
        <v>253</v>
      </c>
      <c r="C147" s="5">
        <v>1</v>
      </c>
      <c r="D147" s="5">
        <f>INT(E147/3)</f>
        <v>28</v>
      </c>
      <c r="E147" s="5">
        <v>84</v>
      </c>
      <c r="F147" s="5">
        <v>89</v>
      </c>
      <c r="G147" s="5">
        <v>55</v>
      </c>
      <c r="H147" s="5">
        <v>82</v>
      </c>
      <c r="I147" s="5">
        <v>85</v>
      </c>
      <c r="J147" s="5">
        <f>SUM(E147:I147)</f>
        <v>395</v>
      </c>
      <c r="K147" s="5">
        <v>260</v>
      </c>
      <c r="L147" s="5">
        <v>4</v>
      </c>
      <c r="M147" s="5">
        <v>10</v>
      </c>
      <c r="N147" s="5">
        <v>17</v>
      </c>
      <c r="O147" s="5">
        <v>15</v>
      </c>
      <c r="P147" s="5"/>
      <c r="Q147" s="5">
        <f>MAX(25, INT(POWER(2.2,J147/45)))</f>
        <v>1013</v>
      </c>
      <c r="R147" s="5">
        <v>0</v>
      </c>
      <c r="S147" s="5">
        <v>3</v>
      </c>
      <c r="T147" s="5" t="s">
        <v>303</v>
      </c>
      <c r="U147" s="5"/>
      <c r="V147" s="5" t="s">
        <v>392</v>
      </c>
      <c r="W147" s="12" t="s">
        <v>410</v>
      </c>
      <c r="X147" s="5" t="s">
        <v>197</v>
      </c>
      <c r="Y147" s="10" t="s">
        <v>173</v>
      </c>
      <c r="Z147" s="5" t="s">
        <v>549</v>
      </c>
      <c r="AA147">
        <f>COUNTIF([1]Sheet1!$Q:$R, "*"&amp; A147&amp;"*")</f>
        <v>1</v>
      </c>
    </row>
    <row r="148" spans="1:27" x14ac:dyDescent="0.2">
      <c r="A148" s="5">
        <v>105001</v>
      </c>
      <c r="B148" s="5" t="s">
        <v>62</v>
      </c>
      <c r="C148" s="5">
        <v>1</v>
      </c>
      <c r="D148" s="5">
        <f>INT(E148/3)</f>
        <v>31</v>
      </c>
      <c r="E148" s="5">
        <v>94</v>
      </c>
      <c r="F148" s="5">
        <v>89</v>
      </c>
      <c r="G148" s="5">
        <v>87</v>
      </c>
      <c r="H148" s="5">
        <v>88</v>
      </c>
      <c r="I148" s="5">
        <v>75</v>
      </c>
      <c r="J148" s="5">
        <f>SUM(E148:I148)</f>
        <v>433</v>
      </c>
      <c r="K148" s="5">
        <v>295</v>
      </c>
      <c r="L148" s="5">
        <v>5</v>
      </c>
      <c r="M148" s="5">
        <v>10</v>
      </c>
      <c r="N148" s="5">
        <v>17</v>
      </c>
      <c r="O148" s="5"/>
      <c r="P148" s="5"/>
      <c r="Q148" s="5">
        <f>MAX(25, INT(POWER(2.2,J148/45)))</f>
        <v>1971</v>
      </c>
      <c r="R148" s="5">
        <v>0</v>
      </c>
      <c r="S148" s="5">
        <v>1</v>
      </c>
      <c r="T148" s="5" t="s">
        <v>300</v>
      </c>
      <c r="U148" s="5"/>
      <c r="V148" s="5" t="s">
        <v>354</v>
      </c>
      <c r="X148" s="5" t="s">
        <v>194</v>
      </c>
      <c r="Y148" s="10" t="s">
        <v>78</v>
      </c>
      <c r="Z148" s="5" t="s">
        <v>550</v>
      </c>
      <c r="AA148">
        <f>COUNTIF([1]Sheet1!$Q:$R, "*"&amp; A148&amp;"*")</f>
        <v>0</v>
      </c>
    </row>
    <row r="149" spans="1:27" x14ac:dyDescent="0.2">
      <c r="A149" s="5">
        <v>105002</v>
      </c>
      <c r="B149" s="5" t="s">
        <v>124</v>
      </c>
      <c r="C149" s="5">
        <v>1</v>
      </c>
      <c r="D149" s="5">
        <f>INT(E149/3)</f>
        <v>26</v>
      </c>
      <c r="E149" s="5">
        <v>80</v>
      </c>
      <c r="F149" s="5">
        <v>87</v>
      </c>
      <c r="G149" s="5">
        <v>67</v>
      </c>
      <c r="H149" s="5">
        <v>82</v>
      </c>
      <c r="I149" s="5">
        <v>70</v>
      </c>
      <c r="J149" s="5">
        <f>SUM(E149:I149)</f>
        <v>386</v>
      </c>
      <c r="K149" s="5">
        <v>280</v>
      </c>
      <c r="L149" s="5">
        <v>5</v>
      </c>
      <c r="M149" s="5">
        <v>10</v>
      </c>
      <c r="N149" s="5">
        <v>17</v>
      </c>
      <c r="O149" s="5">
        <v>18</v>
      </c>
      <c r="P149" s="5"/>
      <c r="Q149" s="5">
        <f>MAX(25, INT(POWER(2.2,J149/45)))</f>
        <v>865</v>
      </c>
      <c r="R149" s="5">
        <v>0</v>
      </c>
      <c r="S149" s="5">
        <v>3</v>
      </c>
      <c r="T149" s="5" t="s">
        <v>304</v>
      </c>
      <c r="U149" s="5"/>
      <c r="X149" s="5" t="s">
        <v>203</v>
      </c>
      <c r="Y149" s="10" t="s">
        <v>346</v>
      </c>
      <c r="Z149" s="5" t="s">
        <v>551</v>
      </c>
      <c r="AA149">
        <f>COUNTIF([1]Sheet1!$Q:$R, "*"&amp; A149&amp;"*")</f>
        <v>0</v>
      </c>
    </row>
    <row r="150" spans="1:27" x14ac:dyDescent="0.2">
      <c r="A150" s="5">
        <v>105003</v>
      </c>
      <c r="B150" s="5" t="s">
        <v>125</v>
      </c>
      <c r="C150" s="5">
        <v>1</v>
      </c>
      <c r="D150" s="5">
        <f>INT(E150/3)</f>
        <v>26</v>
      </c>
      <c r="E150" s="5">
        <v>78</v>
      </c>
      <c r="F150" s="5">
        <v>87</v>
      </c>
      <c r="G150" s="5">
        <v>57</v>
      </c>
      <c r="H150" s="5">
        <v>84</v>
      </c>
      <c r="I150" s="5">
        <v>65</v>
      </c>
      <c r="J150" s="5">
        <f>SUM(E150:I150)</f>
        <v>371</v>
      </c>
      <c r="K150" s="5">
        <v>290</v>
      </c>
      <c r="L150" s="5">
        <v>5</v>
      </c>
      <c r="M150" s="5">
        <v>10</v>
      </c>
      <c r="N150" s="5">
        <v>17</v>
      </c>
      <c r="O150" s="5">
        <v>18</v>
      </c>
      <c r="P150" s="5"/>
      <c r="Q150" s="5">
        <f>MAX(25, INT(POWER(2.2,J150/45)))</f>
        <v>665</v>
      </c>
      <c r="R150" s="5">
        <v>0</v>
      </c>
      <c r="S150" s="5">
        <v>3</v>
      </c>
      <c r="T150" s="5" t="s">
        <v>304</v>
      </c>
      <c r="U150" s="5"/>
      <c r="V150" s="12" t="s">
        <v>410</v>
      </c>
      <c r="X150" s="5" t="s">
        <v>203</v>
      </c>
      <c r="Y150" s="10" t="s">
        <v>346</v>
      </c>
      <c r="Z150" s="5" t="s">
        <v>552</v>
      </c>
      <c r="AA150">
        <f>COUNTIF([1]Sheet1!$Q:$R, "*"&amp; A150&amp;"*")</f>
        <v>0</v>
      </c>
    </row>
    <row r="151" spans="1:27" x14ac:dyDescent="0.2">
      <c r="A151" s="5">
        <v>105004</v>
      </c>
      <c r="B151" s="5" t="s">
        <v>224</v>
      </c>
      <c r="C151" s="5">
        <v>1</v>
      </c>
      <c r="D151" s="5">
        <f>INT(E151/3)</f>
        <v>30</v>
      </c>
      <c r="E151" s="5">
        <v>90</v>
      </c>
      <c r="F151" s="5">
        <v>84</v>
      </c>
      <c r="G151" s="5">
        <v>64</v>
      </c>
      <c r="H151" s="5">
        <v>90</v>
      </c>
      <c r="I151" s="5">
        <v>92</v>
      </c>
      <c r="J151" s="5">
        <f>SUM(E151:I151)</f>
        <v>420</v>
      </c>
      <c r="K151" s="5">
        <v>320</v>
      </c>
      <c r="L151" s="5">
        <v>5</v>
      </c>
      <c r="M151" s="5">
        <v>10</v>
      </c>
      <c r="N151" s="5">
        <v>17</v>
      </c>
      <c r="O151" s="5"/>
      <c r="P151" s="5"/>
      <c r="Q151" s="5">
        <f>MAX(25, INT(POWER(2.2,J151/45)))</f>
        <v>1570</v>
      </c>
      <c r="R151" s="5">
        <v>0</v>
      </c>
      <c r="S151" s="5">
        <v>1</v>
      </c>
      <c r="T151" s="5" t="s">
        <v>299</v>
      </c>
      <c r="U151" s="5"/>
      <c r="V151" t="s">
        <v>378</v>
      </c>
      <c r="X151" s="5" t="s">
        <v>195</v>
      </c>
      <c r="Y151" s="10" t="s">
        <v>78</v>
      </c>
      <c r="Z151" s="5" t="s">
        <v>553</v>
      </c>
      <c r="AA151">
        <f>COUNTIF([1]Sheet1!$Q:$R, "*"&amp; A151&amp;"*")</f>
        <v>0</v>
      </c>
    </row>
    <row r="152" spans="1:27" x14ac:dyDescent="0.2">
      <c r="A152" s="5">
        <v>105005</v>
      </c>
      <c r="B152" s="5" t="s">
        <v>88</v>
      </c>
      <c r="C152" s="5">
        <v>1</v>
      </c>
      <c r="D152" s="5">
        <f>INT(E152/3)</f>
        <v>27</v>
      </c>
      <c r="E152" s="5">
        <v>82</v>
      </c>
      <c r="F152" s="5">
        <v>92</v>
      </c>
      <c r="G152" s="5">
        <v>58</v>
      </c>
      <c r="H152" s="5">
        <v>85</v>
      </c>
      <c r="I152" s="5">
        <v>65</v>
      </c>
      <c r="J152" s="5">
        <f>SUM(E152:I152)</f>
        <v>382</v>
      </c>
      <c r="K152" s="5">
        <v>290</v>
      </c>
      <c r="L152" s="5">
        <v>5</v>
      </c>
      <c r="M152" s="5">
        <v>10</v>
      </c>
      <c r="N152" s="5">
        <v>17</v>
      </c>
      <c r="O152" s="5">
        <v>15</v>
      </c>
      <c r="P152" s="5"/>
      <c r="Q152" s="5">
        <f>MAX(25, INT(POWER(2.2,J152/45)))</f>
        <v>806</v>
      </c>
      <c r="R152" s="5">
        <v>0</v>
      </c>
      <c r="S152" s="5">
        <v>3</v>
      </c>
      <c r="T152" s="5" t="s">
        <v>303</v>
      </c>
      <c r="U152" s="5"/>
      <c r="V152" s="5" t="s">
        <v>394</v>
      </c>
      <c r="X152" s="5" t="s">
        <v>197</v>
      </c>
      <c r="Y152" s="10" t="s">
        <v>77</v>
      </c>
      <c r="Z152" s="5" t="s">
        <v>554</v>
      </c>
      <c r="AA152">
        <f>COUNTIF([1]Sheet1!$Q:$R, "*"&amp; A152&amp;"*")</f>
        <v>0</v>
      </c>
    </row>
    <row r="153" spans="1:27" x14ac:dyDescent="0.2">
      <c r="A153" s="5">
        <v>105006</v>
      </c>
      <c r="B153" s="5" t="s">
        <v>146</v>
      </c>
      <c r="C153" s="5">
        <v>1</v>
      </c>
      <c r="D153" s="5">
        <f>INT(E153/3)</f>
        <v>28</v>
      </c>
      <c r="E153" s="5">
        <v>86</v>
      </c>
      <c r="F153" s="5">
        <v>84</v>
      </c>
      <c r="G153" s="5">
        <v>77</v>
      </c>
      <c r="H153" s="5">
        <v>86</v>
      </c>
      <c r="I153" s="5">
        <v>80</v>
      </c>
      <c r="J153" s="5">
        <f>SUM(E153:I153)</f>
        <v>413</v>
      </c>
      <c r="K153" s="5">
        <v>280</v>
      </c>
      <c r="L153" s="5">
        <v>5</v>
      </c>
      <c r="M153" s="5">
        <v>10</v>
      </c>
      <c r="N153" s="5">
        <v>17</v>
      </c>
      <c r="O153" s="5"/>
      <c r="P153" s="5"/>
      <c r="Q153" s="5">
        <f>MAX(25, INT(POWER(2.2,J153/45)))</f>
        <v>1388</v>
      </c>
      <c r="R153" s="5">
        <v>0</v>
      </c>
      <c r="S153" s="5">
        <v>1</v>
      </c>
      <c r="T153" s="5" t="s">
        <v>297</v>
      </c>
      <c r="U153" s="5"/>
      <c r="V153" t="s">
        <v>388</v>
      </c>
      <c r="X153" s="5" t="s">
        <v>231</v>
      </c>
      <c r="Y153" s="10" t="s">
        <v>78</v>
      </c>
      <c r="Z153" s="5" t="s">
        <v>555</v>
      </c>
      <c r="AA153">
        <f>COUNTIF([1]Sheet1!$Q:$R, "*"&amp; A153&amp;"*")</f>
        <v>0</v>
      </c>
    </row>
    <row r="154" spans="1:27" x14ac:dyDescent="0.2">
      <c r="A154" s="5">
        <v>105007</v>
      </c>
      <c r="B154" s="5" t="s">
        <v>207</v>
      </c>
      <c r="C154" s="5">
        <v>1</v>
      </c>
      <c r="D154" s="5">
        <f>INT(E154/3)</f>
        <v>28</v>
      </c>
      <c r="E154" s="5">
        <v>84</v>
      </c>
      <c r="F154" s="5">
        <v>85</v>
      </c>
      <c r="G154" s="5">
        <v>30</v>
      </c>
      <c r="H154" s="5">
        <v>89</v>
      </c>
      <c r="I154" s="5">
        <v>78</v>
      </c>
      <c r="J154" s="5">
        <f>SUM(E154:I154)</f>
        <v>366</v>
      </c>
      <c r="K154" s="5">
        <v>320</v>
      </c>
      <c r="L154" s="5">
        <v>5</v>
      </c>
      <c r="M154" s="5">
        <v>10</v>
      </c>
      <c r="N154" s="5">
        <v>17</v>
      </c>
      <c r="O154" s="5">
        <v>18</v>
      </c>
      <c r="P154" s="5"/>
      <c r="Q154" s="5">
        <f>MAX(25, INT(POWER(2.2,J154/45)))</f>
        <v>609</v>
      </c>
      <c r="R154" s="5">
        <v>0</v>
      </c>
      <c r="S154" s="5">
        <v>3</v>
      </c>
      <c r="T154" s="5" t="s">
        <v>304</v>
      </c>
      <c r="U154" s="5"/>
      <c r="V154" t="s">
        <v>333</v>
      </c>
      <c r="X154" s="5" t="s">
        <v>197</v>
      </c>
      <c r="Y154" s="10" t="s">
        <v>346</v>
      </c>
      <c r="Z154" s="5" t="s">
        <v>556</v>
      </c>
      <c r="AA154">
        <f>COUNTIF([1]Sheet1!$Q:$R, "*"&amp; A154&amp;"*")</f>
        <v>0</v>
      </c>
    </row>
    <row r="155" spans="1:27" x14ac:dyDescent="0.2">
      <c r="A155" s="5">
        <v>105008</v>
      </c>
      <c r="B155" s="5" t="s">
        <v>228</v>
      </c>
      <c r="C155" s="5">
        <v>1</v>
      </c>
      <c r="D155" s="5">
        <f>INT(E155/3)</f>
        <v>26</v>
      </c>
      <c r="E155" s="5">
        <v>80</v>
      </c>
      <c r="F155" s="5">
        <v>79</v>
      </c>
      <c r="G155" s="5">
        <v>52</v>
      </c>
      <c r="H155" s="5">
        <v>82</v>
      </c>
      <c r="I155" s="5">
        <v>75</v>
      </c>
      <c r="J155" s="5">
        <f>SUM(E155:I155)</f>
        <v>368</v>
      </c>
      <c r="K155" s="5">
        <v>340</v>
      </c>
      <c r="L155" s="5">
        <v>5</v>
      </c>
      <c r="M155" s="5">
        <v>10</v>
      </c>
      <c r="N155" s="5">
        <v>17</v>
      </c>
      <c r="O155" s="5"/>
      <c r="P155" s="5"/>
      <c r="Q155" s="5">
        <f>MAX(25, INT(POWER(2.2,J155/45)))</f>
        <v>631</v>
      </c>
      <c r="R155" s="5">
        <v>0</v>
      </c>
      <c r="S155" s="5">
        <v>1</v>
      </c>
      <c r="T155" s="5" t="s">
        <v>299</v>
      </c>
      <c r="U155" s="5"/>
      <c r="V155" t="s">
        <v>379</v>
      </c>
      <c r="X155" s="5" t="s">
        <v>319</v>
      </c>
      <c r="Y155" s="10" t="s">
        <v>78</v>
      </c>
      <c r="Z155" s="5" t="s">
        <v>557</v>
      </c>
      <c r="AA155">
        <f>COUNTIF([1]Sheet1!$Q:$R, "*"&amp; A155&amp;"*")</f>
        <v>0</v>
      </c>
    </row>
    <row r="156" spans="1:27" x14ac:dyDescent="0.2">
      <c r="A156" s="5">
        <v>105009</v>
      </c>
      <c r="B156" s="5" t="s">
        <v>258</v>
      </c>
      <c r="C156" s="5">
        <v>1</v>
      </c>
      <c r="D156" s="5">
        <f>INT(E156/3)</f>
        <v>14</v>
      </c>
      <c r="E156" s="5">
        <v>42</v>
      </c>
      <c r="F156" s="5">
        <v>84</v>
      </c>
      <c r="G156" s="5">
        <v>28</v>
      </c>
      <c r="H156" s="5">
        <v>80</v>
      </c>
      <c r="I156" s="5">
        <v>82</v>
      </c>
      <c r="J156" s="5">
        <f>SUM(E156:I156)</f>
        <v>316</v>
      </c>
      <c r="K156" s="5">
        <v>310</v>
      </c>
      <c r="L156" s="5">
        <v>5</v>
      </c>
      <c r="M156" s="5">
        <v>10</v>
      </c>
      <c r="N156" s="5">
        <v>17</v>
      </c>
      <c r="O156" s="5">
        <v>15</v>
      </c>
      <c r="P156" s="5"/>
      <c r="Q156" s="5">
        <f>MAX(25, INT(POWER(2.2,J156/45)))</f>
        <v>253</v>
      </c>
      <c r="R156" s="5">
        <v>0</v>
      </c>
      <c r="S156" s="5">
        <v>3</v>
      </c>
      <c r="T156" s="5" t="s">
        <v>305</v>
      </c>
      <c r="U156" s="5"/>
      <c r="V156" t="s">
        <v>394</v>
      </c>
      <c r="X156" s="5" t="s">
        <v>197</v>
      </c>
      <c r="Y156" s="10" t="s">
        <v>344</v>
      </c>
      <c r="Z156" s="5" t="s">
        <v>558</v>
      </c>
      <c r="AA156">
        <f>COUNTIF([1]Sheet1!$Q:$R, "*"&amp; A156&amp;"*")</f>
        <v>0</v>
      </c>
    </row>
    <row r="157" spans="1:27" x14ac:dyDescent="0.2">
      <c r="A157" s="5">
        <v>106001</v>
      </c>
      <c r="B157" s="5" t="s">
        <v>104</v>
      </c>
      <c r="C157" s="5">
        <v>1</v>
      </c>
      <c r="D157" s="5">
        <f>INT(E157/3)</f>
        <v>29</v>
      </c>
      <c r="E157" s="5">
        <v>88</v>
      </c>
      <c r="F157" s="5">
        <v>41</v>
      </c>
      <c r="G157" s="5">
        <v>93</v>
      </c>
      <c r="H157" s="5">
        <v>50</v>
      </c>
      <c r="I157" s="5">
        <v>70</v>
      </c>
      <c r="J157" s="5">
        <f>SUM(E157:I157)</f>
        <v>342</v>
      </c>
      <c r="K157" s="5">
        <v>340</v>
      </c>
      <c r="L157" s="5">
        <v>6</v>
      </c>
      <c r="M157" s="5">
        <v>10</v>
      </c>
      <c r="N157" s="5">
        <v>17</v>
      </c>
      <c r="O157" s="5"/>
      <c r="P157" s="5"/>
      <c r="Q157" s="5">
        <f>MAX(25, INT(POWER(2.2,J157/45)))</f>
        <v>400</v>
      </c>
      <c r="R157" s="5">
        <v>0</v>
      </c>
      <c r="S157" s="5">
        <v>1</v>
      </c>
      <c r="T157" s="5" t="s">
        <v>298</v>
      </c>
      <c r="U157" s="5"/>
      <c r="V157" s="5" t="s">
        <v>270</v>
      </c>
      <c r="W157" s="5"/>
      <c r="X157" s="5" t="s">
        <v>198</v>
      </c>
      <c r="Y157" s="10" t="s">
        <v>184</v>
      </c>
      <c r="Z157" s="5" t="s">
        <v>559</v>
      </c>
      <c r="AA157">
        <f>COUNTIF([1]Sheet1!$Q:$R, "*"&amp; A157&amp;"*")</f>
        <v>1</v>
      </c>
    </row>
    <row r="158" spans="1:27" x14ac:dyDescent="0.2">
      <c r="A158" s="5">
        <v>106002</v>
      </c>
      <c r="B158" s="5" t="s">
        <v>105</v>
      </c>
      <c r="C158" s="5">
        <v>1</v>
      </c>
      <c r="D158" s="5">
        <f>INT(E158/3)</f>
        <v>29</v>
      </c>
      <c r="E158" s="5">
        <v>89</v>
      </c>
      <c r="F158" s="5">
        <v>48</v>
      </c>
      <c r="G158" s="5">
        <v>92</v>
      </c>
      <c r="H158" s="5">
        <v>52</v>
      </c>
      <c r="I158" s="5">
        <v>68</v>
      </c>
      <c r="J158" s="5">
        <f>SUM(E158:I158)</f>
        <v>349</v>
      </c>
      <c r="K158" s="5">
        <v>355</v>
      </c>
      <c r="L158" s="5">
        <v>6</v>
      </c>
      <c r="M158" s="5">
        <v>10</v>
      </c>
      <c r="N158" s="5">
        <v>17</v>
      </c>
      <c r="O158" s="5"/>
      <c r="P158" s="5"/>
      <c r="Q158" s="5">
        <f>MAX(25, INT(POWER(2.2,J158/45)))</f>
        <v>452</v>
      </c>
      <c r="R158" s="5">
        <v>0</v>
      </c>
      <c r="S158" s="5">
        <v>1</v>
      </c>
      <c r="T158" s="5" t="s">
        <v>298</v>
      </c>
      <c r="U158" s="5"/>
      <c r="V158" s="5" t="s">
        <v>276</v>
      </c>
      <c r="W158" s="5"/>
      <c r="X158" s="5" t="s">
        <v>201</v>
      </c>
      <c r="Y158" s="10" t="s">
        <v>78</v>
      </c>
      <c r="Z158" s="5" t="s">
        <v>560</v>
      </c>
      <c r="AA158">
        <f>COUNTIF([1]Sheet1!$Q:$R, "*"&amp; A158&amp;"*")</f>
        <v>1</v>
      </c>
    </row>
    <row r="159" spans="1:27" x14ac:dyDescent="0.2">
      <c r="A159" s="5">
        <v>106003</v>
      </c>
      <c r="B159" s="5" t="s">
        <v>218</v>
      </c>
      <c r="C159" s="5">
        <v>1</v>
      </c>
      <c r="D159" s="5">
        <f>INT(E159/3)</f>
        <v>24</v>
      </c>
      <c r="E159" s="5">
        <v>72</v>
      </c>
      <c r="F159" s="5">
        <v>93</v>
      </c>
      <c r="G159" s="5">
        <v>33</v>
      </c>
      <c r="H159" s="5">
        <v>88</v>
      </c>
      <c r="I159" s="5">
        <v>75</v>
      </c>
      <c r="J159" s="5">
        <f>SUM(E159:I159)</f>
        <v>361</v>
      </c>
      <c r="K159" s="5">
        <v>250</v>
      </c>
      <c r="L159" s="5">
        <v>6</v>
      </c>
      <c r="M159" s="5">
        <v>10</v>
      </c>
      <c r="N159" s="5">
        <v>17</v>
      </c>
      <c r="O159" s="5">
        <v>15</v>
      </c>
      <c r="P159" s="5"/>
      <c r="Q159" s="5">
        <f>MAX(25, INT(POWER(2.2,J159/45)))</f>
        <v>558</v>
      </c>
      <c r="R159" s="5">
        <v>0</v>
      </c>
      <c r="S159" s="5">
        <v>3</v>
      </c>
      <c r="T159" s="5" t="s">
        <v>303</v>
      </c>
      <c r="U159" s="5"/>
      <c r="V159" s="5" t="s">
        <v>385</v>
      </c>
      <c r="W159" s="5"/>
      <c r="X159" s="5" t="s">
        <v>197</v>
      </c>
      <c r="Y159" s="10" t="s">
        <v>77</v>
      </c>
      <c r="Z159" s="5" t="s">
        <v>561</v>
      </c>
      <c r="AA159">
        <f>COUNTIF([1]Sheet1!$Q:$R, "*"&amp; A159&amp;"*")</f>
        <v>1</v>
      </c>
    </row>
    <row r="160" spans="1:27" x14ac:dyDescent="0.2">
      <c r="A160" s="5">
        <v>106004</v>
      </c>
      <c r="B160" s="5" t="s">
        <v>219</v>
      </c>
      <c r="C160" s="5">
        <v>1</v>
      </c>
      <c r="D160" s="5">
        <f>INT(E160/3)</f>
        <v>24</v>
      </c>
      <c r="E160" s="5">
        <v>72</v>
      </c>
      <c r="F160" s="5">
        <v>55</v>
      </c>
      <c r="G160" s="5">
        <v>78</v>
      </c>
      <c r="H160" s="5">
        <v>68</v>
      </c>
      <c r="I160" s="5">
        <v>60</v>
      </c>
      <c r="J160" s="5">
        <f>SUM(E160:I160)</f>
        <v>333</v>
      </c>
      <c r="K160" s="5">
        <v>250</v>
      </c>
      <c r="L160" s="5">
        <v>6</v>
      </c>
      <c r="M160" s="5">
        <v>10</v>
      </c>
      <c r="N160" s="5">
        <v>17</v>
      </c>
      <c r="O160" s="5">
        <v>22</v>
      </c>
      <c r="P160" s="5">
        <v>1.5</v>
      </c>
      <c r="Q160" s="5">
        <f>MAX(25, INT(POWER(2.2,J160/45)))</f>
        <v>341</v>
      </c>
      <c r="R160" s="5">
        <v>0</v>
      </c>
      <c r="S160" s="5">
        <v>3</v>
      </c>
      <c r="T160" s="5" t="s">
        <v>306</v>
      </c>
      <c r="U160" s="5"/>
      <c r="V160" s="5"/>
      <c r="W160" s="5"/>
      <c r="X160" s="5" t="s">
        <v>196</v>
      </c>
      <c r="Y160" s="10" t="s">
        <v>175</v>
      </c>
      <c r="Z160" s="5" t="s">
        <v>562</v>
      </c>
      <c r="AA160">
        <f>COUNTIF([1]Sheet1!$Q:$R, "*"&amp; A160&amp;"*")</f>
        <v>1</v>
      </c>
    </row>
    <row r="161" spans="1:27" x14ac:dyDescent="0.2">
      <c r="A161" s="5">
        <v>106005</v>
      </c>
      <c r="B161" s="5" t="s">
        <v>220</v>
      </c>
      <c r="C161" s="5">
        <v>1</v>
      </c>
      <c r="D161" s="5">
        <f>INT(E161/3)</f>
        <v>13</v>
      </c>
      <c r="E161" s="5">
        <v>39</v>
      </c>
      <c r="F161" s="5">
        <v>80</v>
      </c>
      <c r="G161" s="5">
        <v>29</v>
      </c>
      <c r="H161" s="5">
        <v>75</v>
      </c>
      <c r="I161" s="5">
        <v>30</v>
      </c>
      <c r="J161" s="5">
        <f>SUM(E161:I161)</f>
        <v>253</v>
      </c>
      <c r="K161" s="5">
        <v>285</v>
      </c>
      <c r="L161" s="5">
        <v>6</v>
      </c>
      <c r="M161" s="5">
        <v>10</v>
      </c>
      <c r="N161" s="5">
        <v>17</v>
      </c>
      <c r="O161" s="5">
        <v>15</v>
      </c>
      <c r="P161" s="5"/>
      <c r="Q161" s="5">
        <f>MAX(25, INT(POWER(2.2,J161/45)))</f>
        <v>84</v>
      </c>
      <c r="R161" s="5">
        <v>0</v>
      </c>
      <c r="S161" s="5">
        <v>3</v>
      </c>
      <c r="T161" s="5" t="s">
        <v>303</v>
      </c>
      <c r="U161" s="5"/>
      <c r="V161" s="5" t="s">
        <v>381</v>
      </c>
      <c r="W161" s="5"/>
      <c r="X161" s="5" t="s">
        <v>197</v>
      </c>
      <c r="Y161" s="10" t="s">
        <v>77</v>
      </c>
      <c r="Z161" s="5" t="s">
        <v>563</v>
      </c>
      <c r="AA161">
        <f>COUNTIF([1]Sheet1!$Q:$R, "*"&amp; A161&amp;"*")</f>
        <v>1</v>
      </c>
    </row>
    <row r="162" spans="1:27" x14ac:dyDescent="0.2">
      <c r="A162" s="5">
        <v>106006</v>
      </c>
      <c r="B162" s="5" t="s">
        <v>221</v>
      </c>
      <c r="C162" s="5">
        <v>1</v>
      </c>
      <c r="D162" s="5">
        <f>INT(E162/3)</f>
        <v>25</v>
      </c>
      <c r="E162" s="5">
        <v>76</v>
      </c>
      <c r="F162" s="5">
        <v>68</v>
      </c>
      <c r="G162" s="5">
        <v>82</v>
      </c>
      <c r="H162" s="5">
        <v>70</v>
      </c>
      <c r="I162" s="5">
        <v>72</v>
      </c>
      <c r="J162" s="5">
        <f>SUM(E162:I162)</f>
        <v>368</v>
      </c>
      <c r="K162" s="5">
        <v>305</v>
      </c>
      <c r="L162" s="5">
        <v>6</v>
      </c>
      <c r="M162" s="5">
        <v>10</v>
      </c>
      <c r="N162" s="5">
        <v>17</v>
      </c>
      <c r="O162" s="5"/>
      <c r="P162" s="5"/>
      <c r="Q162" s="5">
        <f>MAX(25, INT(POWER(2.2,J162/45)))</f>
        <v>631</v>
      </c>
      <c r="R162" s="5">
        <v>0</v>
      </c>
      <c r="S162" s="5">
        <v>1</v>
      </c>
      <c r="T162" s="5" t="s">
        <v>300</v>
      </c>
      <c r="U162" s="5"/>
      <c r="V162" s="5"/>
      <c r="W162" s="5"/>
      <c r="X162" s="5" t="s">
        <v>319</v>
      </c>
      <c r="Y162" s="10" t="s">
        <v>78</v>
      </c>
      <c r="Z162" s="5" t="s">
        <v>564</v>
      </c>
      <c r="AA162">
        <f>COUNTIF([1]Sheet1!$Q:$R, "*"&amp; A162&amp;"*")</f>
        <v>1</v>
      </c>
    </row>
    <row r="163" spans="1:27" x14ac:dyDescent="0.2">
      <c r="A163" s="5">
        <v>106007</v>
      </c>
      <c r="B163" s="5" t="s">
        <v>222</v>
      </c>
      <c r="C163" s="5">
        <v>1</v>
      </c>
      <c r="D163" s="5">
        <f>INT(E163/3)</f>
        <v>26</v>
      </c>
      <c r="E163" s="5">
        <v>78</v>
      </c>
      <c r="F163" s="5">
        <v>90</v>
      </c>
      <c r="G163" s="5">
        <v>35</v>
      </c>
      <c r="H163" s="5">
        <v>89</v>
      </c>
      <c r="I163" s="5">
        <v>82</v>
      </c>
      <c r="J163" s="5">
        <f>SUM(E163:I163)</f>
        <v>374</v>
      </c>
      <c r="K163" s="5">
        <v>260</v>
      </c>
      <c r="L163" s="5">
        <v>6</v>
      </c>
      <c r="M163" s="5">
        <v>10</v>
      </c>
      <c r="N163" s="5">
        <v>17</v>
      </c>
      <c r="O163" s="5">
        <v>15</v>
      </c>
      <c r="P163" s="5"/>
      <c r="Q163" s="5">
        <f>MAX(25, INT(POWER(2.2,J163/45)))</f>
        <v>701</v>
      </c>
      <c r="R163" s="5">
        <v>0</v>
      </c>
      <c r="S163" s="5">
        <v>3</v>
      </c>
      <c r="T163" s="5" t="s">
        <v>303</v>
      </c>
      <c r="U163" s="5"/>
      <c r="V163" s="5" t="s">
        <v>369</v>
      </c>
      <c r="W163" s="5"/>
      <c r="X163" s="5" t="s">
        <v>197</v>
      </c>
      <c r="Y163" s="10" t="s">
        <v>77</v>
      </c>
      <c r="Z163" s="5" t="s">
        <v>565</v>
      </c>
      <c r="AA163">
        <f>COUNTIF([1]Sheet1!$Q:$R, "*"&amp; A163&amp;"*")</f>
        <v>1</v>
      </c>
    </row>
    <row r="164" spans="1:27" x14ac:dyDescent="0.2">
      <c r="A164" s="5">
        <v>106008</v>
      </c>
      <c r="B164" s="5" t="s">
        <v>223</v>
      </c>
      <c r="C164" s="5">
        <v>1</v>
      </c>
      <c r="D164" s="5">
        <f>INT(E164/3)</f>
        <v>17</v>
      </c>
      <c r="E164" s="5">
        <v>52</v>
      </c>
      <c r="F164" s="5">
        <v>83</v>
      </c>
      <c r="G164" s="5">
        <v>50</v>
      </c>
      <c r="H164" s="5">
        <v>78</v>
      </c>
      <c r="I164" s="5">
        <v>45</v>
      </c>
      <c r="J164" s="5">
        <f>SUM(E164:I164)</f>
        <v>308</v>
      </c>
      <c r="K164" s="5">
        <v>290</v>
      </c>
      <c r="L164" s="5">
        <v>6</v>
      </c>
      <c r="M164" s="5">
        <v>10</v>
      </c>
      <c r="N164" s="5">
        <v>17</v>
      </c>
      <c r="O164" s="5">
        <v>15</v>
      </c>
      <c r="P164" s="5"/>
      <c r="Q164" s="5">
        <f>MAX(25, INT(POWER(2.2,J164/45)))</f>
        <v>220</v>
      </c>
      <c r="R164" s="5">
        <v>0</v>
      </c>
      <c r="S164" s="5">
        <v>3</v>
      </c>
      <c r="T164" s="5" t="s">
        <v>305</v>
      </c>
      <c r="U164" s="5"/>
      <c r="V164" s="5" t="s">
        <v>338</v>
      </c>
      <c r="W164" s="5" t="s">
        <v>390</v>
      </c>
      <c r="X164" s="5" t="s">
        <v>203</v>
      </c>
      <c r="Y164" s="10" t="s">
        <v>344</v>
      </c>
      <c r="Z164" s="5" t="s">
        <v>566</v>
      </c>
      <c r="AA164">
        <f>COUNTIF([1]Sheet1!$Q:$R, "*"&amp; A164&amp;"*")</f>
        <v>1</v>
      </c>
    </row>
    <row r="165" spans="1:27" x14ac:dyDescent="0.2">
      <c r="A165" s="5">
        <v>110002</v>
      </c>
      <c r="B165" s="5" t="s">
        <v>262</v>
      </c>
      <c r="C165" s="5">
        <v>1</v>
      </c>
      <c r="D165" s="5">
        <f>INT(E165/3)</f>
        <v>29</v>
      </c>
      <c r="E165" s="5">
        <v>88</v>
      </c>
      <c r="F165" s="5">
        <v>75</v>
      </c>
      <c r="G165" s="5">
        <v>84</v>
      </c>
      <c r="H165" s="5">
        <v>78</v>
      </c>
      <c r="I165" s="5">
        <v>82</v>
      </c>
      <c r="J165" s="5">
        <f>SUM(E165:I165)</f>
        <v>407</v>
      </c>
      <c r="K165" s="5">
        <v>210</v>
      </c>
      <c r="L165" s="5">
        <v>10</v>
      </c>
      <c r="M165" s="5">
        <v>10</v>
      </c>
      <c r="N165" s="5">
        <v>17</v>
      </c>
      <c r="O165" s="5">
        <v>22</v>
      </c>
      <c r="P165" s="5">
        <v>1.5</v>
      </c>
      <c r="Q165" s="5">
        <f>MAX(25, INT(POWER(2.2,J165/45)))</f>
        <v>1250</v>
      </c>
      <c r="R165" s="5">
        <v>0</v>
      </c>
      <c r="S165" s="5">
        <v>3</v>
      </c>
      <c r="T165" s="5" t="s">
        <v>306</v>
      </c>
      <c r="U165" s="5"/>
      <c r="V165" s="5" t="s">
        <v>407</v>
      </c>
      <c r="W165" s="5"/>
      <c r="X165" s="5" t="s">
        <v>196</v>
      </c>
      <c r="Y165" s="10" t="s">
        <v>175</v>
      </c>
      <c r="Z165" s="5" t="s">
        <v>568</v>
      </c>
      <c r="AA165">
        <f>COUNTIF([1]Sheet1!$Q:$R, "*"&amp; A165&amp;"*")</f>
        <v>0</v>
      </c>
    </row>
    <row r="166" spans="1:27" x14ac:dyDescent="0.2">
      <c r="A166" s="5">
        <v>110003</v>
      </c>
      <c r="B166" s="5" t="s">
        <v>127</v>
      </c>
      <c r="C166" s="5">
        <v>1</v>
      </c>
      <c r="D166" s="5">
        <f>INT(E166/3)</f>
        <v>20</v>
      </c>
      <c r="E166" s="5">
        <v>60</v>
      </c>
      <c r="F166" s="5">
        <v>77</v>
      </c>
      <c r="G166" s="5">
        <v>34</v>
      </c>
      <c r="H166" s="5">
        <v>70</v>
      </c>
      <c r="I166" s="5">
        <v>85</v>
      </c>
      <c r="J166" s="5">
        <f>SUM(E166:I166)</f>
        <v>326</v>
      </c>
      <c r="K166" s="5">
        <v>330</v>
      </c>
      <c r="L166" s="5">
        <v>10</v>
      </c>
      <c r="M166" s="5">
        <v>10</v>
      </c>
      <c r="N166" s="5">
        <v>17</v>
      </c>
      <c r="O166" s="5">
        <v>14</v>
      </c>
      <c r="P166" s="5"/>
      <c r="Q166" s="5">
        <f>MAX(25, INT(POWER(2.2,J166/45)))</f>
        <v>302</v>
      </c>
      <c r="R166" s="5">
        <v>0</v>
      </c>
      <c r="S166" s="5">
        <v>3</v>
      </c>
      <c r="T166" s="5" t="s">
        <v>308</v>
      </c>
      <c r="U166" s="5"/>
      <c r="V166" s="5" t="s">
        <v>377</v>
      </c>
      <c r="W166" s="5"/>
      <c r="X166" s="5" t="s">
        <v>203</v>
      </c>
      <c r="Y166" s="10" t="s">
        <v>343</v>
      </c>
      <c r="Z166" s="5" t="s">
        <v>569</v>
      </c>
      <c r="AA166">
        <f>COUNTIF([1]Sheet1!$Q:$R, "*"&amp; A166&amp;"*")</f>
        <v>0</v>
      </c>
    </row>
    <row r="167" spans="1:27" x14ac:dyDescent="0.2">
      <c r="A167" s="5">
        <v>110006</v>
      </c>
      <c r="B167" s="5" t="s">
        <v>157</v>
      </c>
      <c r="C167" s="5">
        <v>1</v>
      </c>
      <c r="D167" s="5">
        <f>INT(E167/3)</f>
        <v>15</v>
      </c>
      <c r="E167" s="5">
        <v>47</v>
      </c>
      <c r="F167" s="5">
        <v>73</v>
      </c>
      <c r="G167" s="5">
        <v>41</v>
      </c>
      <c r="H167" s="5">
        <v>65</v>
      </c>
      <c r="I167" s="5">
        <v>70</v>
      </c>
      <c r="J167" s="5">
        <f>SUM(E167:I167)</f>
        <v>296</v>
      </c>
      <c r="K167" s="5">
        <v>310</v>
      </c>
      <c r="L167" s="5">
        <v>10</v>
      </c>
      <c r="M167" s="5">
        <v>10</v>
      </c>
      <c r="N167" s="5">
        <v>17</v>
      </c>
      <c r="O167" s="5">
        <v>14</v>
      </c>
      <c r="P167" s="5"/>
      <c r="Q167" s="5">
        <f>MAX(25, INT(POWER(2.2,J167/45)))</f>
        <v>178</v>
      </c>
      <c r="R167" s="5">
        <v>0</v>
      </c>
      <c r="S167" s="5">
        <v>3</v>
      </c>
      <c r="T167" s="5" t="s">
        <v>308</v>
      </c>
      <c r="U167" s="5"/>
      <c r="V167" s="5" t="s">
        <v>372</v>
      </c>
      <c r="W167" s="5"/>
      <c r="X167" s="5" t="s">
        <v>203</v>
      </c>
      <c r="Y167" s="10" t="s">
        <v>343</v>
      </c>
      <c r="Z167" s="5" t="s">
        <v>572</v>
      </c>
      <c r="AA167">
        <f>COUNTIF([1]Sheet1!$Q:$R, "*"&amp; A167&amp;"*")</f>
        <v>0</v>
      </c>
    </row>
    <row r="168" spans="1:27" x14ac:dyDescent="0.2">
      <c r="A168" s="5">
        <v>110007</v>
      </c>
      <c r="B168" s="5" t="s">
        <v>215</v>
      </c>
      <c r="C168" s="5">
        <v>1</v>
      </c>
      <c r="D168" s="5">
        <f>INT(E168/3)</f>
        <v>29</v>
      </c>
      <c r="E168" s="5">
        <v>87</v>
      </c>
      <c r="F168" s="5">
        <v>86</v>
      </c>
      <c r="G168" s="5">
        <v>29</v>
      </c>
      <c r="H168" s="5">
        <v>82</v>
      </c>
      <c r="I168" s="5">
        <v>88</v>
      </c>
      <c r="J168" s="5">
        <f>SUM(E168:I168)</f>
        <v>372</v>
      </c>
      <c r="K168" s="5">
        <v>280</v>
      </c>
      <c r="L168" s="5">
        <v>10</v>
      </c>
      <c r="M168" s="5">
        <v>10</v>
      </c>
      <c r="N168" s="5">
        <v>17</v>
      </c>
      <c r="O168" s="5">
        <v>15</v>
      </c>
      <c r="P168" s="5"/>
      <c r="Q168" s="5">
        <f>MAX(25, INT(POWER(2.2,J168/45)))</f>
        <v>677</v>
      </c>
      <c r="R168" s="5">
        <v>0</v>
      </c>
      <c r="S168" s="5">
        <v>3</v>
      </c>
      <c r="T168" s="5" t="s">
        <v>303</v>
      </c>
      <c r="U168" s="5"/>
      <c r="V168" s="5" t="s">
        <v>284</v>
      </c>
      <c r="W168" t="s">
        <v>409</v>
      </c>
      <c r="X168" s="5" t="s">
        <v>197</v>
      </c>
      <c r="Y168" s="10" t="s">
        <v>170</v>
      </c>
      <c r="Z168" s="5" t="s">
        <v>573</v>
      </c>
      <c r="AA168">
        <f>COUNTIF([1]Sheet1!$Q:$R, "*"&amp; A168&amp;"*")</f>
        <v>0</v>
      </c>
    </row>
    <row r="169" spans="1:27" x14ac:dyDescent="0.2">
      <c r="A169" s="5">
        <v>110008</v>
      </c>
      <c r="B169" s="5" t="s">
        <v>216</v>
      </c>
      <c r="C169" s="5">
        <v>1</v>
      </c>
      <c r="D169" s="5">
        <f>INT(E169/3)</f>
        <v>27</v>
      </c>
      <c r="E169" s="5">
        <v>83</v>
      </c>
      <c r="F169" s="5">
        <v>81</v>
      </c>
      <c r="G169" s="5">
        <v>71</v>
      </c>
      <c r="H169" s="5">
        <v>78</v>
      </c>
      <c r="I169" s="5">
        <v>75</v>
      </c>
      <c r="J169" s="5">
        <f>SUM(E169:I169)</f>
        <v>388</v>
      </c>
      <c r="K169" s="5">
        <v>280</v>
      </c>
      <c r="L169" s="5">
        <v>10</v>
      </c>
      <c r="M169" s="5">
        <v>10</v>
      </c>
      <c r="N169" s="5">
        <v>17</v>
      </c>
      <c r="O169" s="5"/>
      <c r="P169" s="5"/>
      <c r="Q169" s="5">
        <f>MAX(25, INT(POWER(2.2,J169/45)))</f>
        <v>896</v>
      </c>
      <c r="R169" s="5">
        <v>0</v>
      </c>
      <c r="S169" s="5">
        <v>1</v>
      </c>
      <c r="T169" s="5" t="s">
        <v>300</v>
      </c>
      <c r="U169" s="5"/>
      <c r="V169" s="5" t="s">
        <v>335</v>
      </c>
      <c r="W169" s="5"/>
      <c r="X169" s="5" t="s">
        <v>230</v>
      </c>
      <c r="Y169" s="10" t="s">
        <v>78</v>
      </c>
      <c r="Z169" s="5" t="s">
        <v>574</v>
      </c>
      <c r="AA169">
        <f>COUNTIF([1]Sheet1!$Q:$R, "*"&amp; A169&amp;"*")</f>
        <v>0</v>
      </c>
    </row>
    <row r="170" spans="1:27" x14ac:dyDescent="0.2">
      <c r="A170" s="5">
        <v>110009</v>
      </c>
      <c r="B170" s="5" t="s">
        <v>217</v>
      </c>
      <c r="C170" s="5">
        <v>1</v>
      </c>
      <c r="D170" s="5">
        <f>INT(E170/3)</f>
        <v>26</v>
      </c>
      <c r="E170" s="5">
        <v>78</v>
      </c>
      <c r="F170" s="5">
        <v>74</v>
      </c>
      <c r="G170" s="5">
        <v>80</v>
      </c>
      <c r="H170" s="5">
        <v>75</v>
      </c>
      <c r="I170" s="5">
        <v>70</v>
      </c>
      <c r="J170" s="5">
        <f>SUM(E170:I170)</f>
        <v>377</v>
      </c>
      <c r="K170" s="5">
        <v>225</v>
      </c>
      <c r="L170" s="5">
        <v>10</v>
      </c>
      <c r="M170" s="5">
        <v>10</v>
      </c>
      <c r="N170" s="5">
        <v>17</v>
      </c>
      <c r="O170" s="5">
        <v>13</v>
      </c>
      <c r="P170" s="5">
        <v>2.5</v>
      </c>
      <c r="Q170" s="5">
        <f>MAX(25, INT(POWER(2.2,J170/45)))</f>
        <v>739</v>
      </c>
      <c r="R170" s="5">
        <v>0</v>
      </c>
      <c r="S170" s="5">
        <v>3</v>
      </c>
      <c r="T170" s="5" t="s">
        <v>359</v>
      </c>
      <c r="U170" s="5"/>
      <c r="V170" s="5"/>
      <c r="W170" s="5"/>
      <c r="X170" s="5" t="s">
        <v>229</v>
      </c>
      <c r="Y170" s="10" t="s">
        <v>78</v>
      </c>
      <c r="Z170" s="5" t="s">
        <v>575</v>
      </c>
      <c r="AA170">
        <f>COUNTIF([1]Sheet1!$Q:$R, "*"&amp; A170&amp;"*")</f>
        <v>0</v>
      </c>
    </row>
    <row r="171" spans="1:27" x14ac:dyDescent="0.2">
      <c r="A171" s="5">
        <v>110010</v>
      </c>
      <c r="B171" s="5" t="s">
        <v>257</v>
      </c>
      <c r="C171" s="5">
        <v>1</v>
      </c>
      <c r="D171" s="5">
        <f>INT(E171/3)</f>
        <v>27</v>
      </c>
      <c r="E171" s="5">
        <v>81</v>
      </c>
      <c r="F171" s="5">
        <v>82</v>
      </c>
      <c r="G171" s="5">
        <v>75</v>
      </c>
      <c r="H171" s="5">
        <v>78</v>
      </c>
      <c r="I171" s="5">
        <v>70</v>
      </c>
      <c r="J171" s="5">
        <f>SUM(E171:I171)</f>
        <v>386</v>
      </c>
      <c r="K171" s="5">
        <v>290</v>
      </c>
      <c r="L171" s="5">
        <v>10</v>
      </c>
      <c r="M171" s="5">
        <v>10</v>
      </c>
      <c r="N171" s="5">
        <v>17</v>
      </c>
      <c r="O171" s="5"/>
      <c r="P171" s="5"/>
      <c r="Q171" s="5">
        <f>MAX(25, INT(POWER(2.2,J171/45)))</f>
        <v>865</v>
      </c>
      <c r="R171" s="5">
        <v>0</v>
      </c>
      <c r="S171" s="5">
        <v>1</v>
      </c>
      <c r="T171" s="5" t="s">
        <v>310</v>
      </c>
      <c r="U171" s="5"/>
      <c r="V171" s="5" t="s">
        <v>399</v>
      </c>
      <c r="W171" s="5"/>
      <c r="X171" s="5" t="s">
        <v>325</v>
      </c>
      <c r="Y171" s="10" t="s">
        <v>78</v>
      </c>
      <c r="Z171" s="5" t="s">
        <v>576</v>
      </c>
      <c r="AA171">
        <f>COUNTIF([1]Sheet1!$Q:$R, "*"&amp; A171&amp;"*")</f>
        <v>1</v>
      </c>
    </row>
    <row r="172" spans="1:27" x14ac:dyDescent="0.2">
      <c r="A172" s="5">
        <v>110011</v>
      </c>
      <c r="B172" s="5" t="s">
        <v>259</v>
      </c>
      <c r="C172" s="5">
        <v>1</v>
      </c>
      <c r="D172" s="5">
        <f>INT(E172/3)</f>
        <v>24</v>
      </c>
      <c r="E172" s="5">
        <v>73</v>
      </c>
      <c r="F172" s="5">
        <v>82</v>
      </c>
      <c r="G172" s="5">
        <v>51</v>
      </c>
      <c r="H172" s="5">
        <v>75</v>
      </c>
      <c r="I172" s="5">
        <v>78</v>
      </c>
      <c r="J172" s="5">
        <f>SUM(E172:I172)</f>
        <v>359</v>
      </c>
      <c r="K172" s="5">
        <v>290</v>
      </c>
      <c r="L172" s="5">
        <v>10</v>
      </c>
      <c r="M172" s="5">
        <v>10</v>
      </c>
      <c r="N172" s="5">
        <v>17</v>
      </c>
      <c r="O172" s="5"/>
      <c r="P172" s="5"/>
      <c r="Q172" s="5">
        <f>MAX(25, INT(POWER(2.2,J172/45)))</f>
        <v>539</v>
      </c>
      <c r="R172" s="5">
        <v>0</v>
      </c>
      <c r="S172" s="5">
        <v>1</v>
      </c>
      <c r="T172" s="5" t="s">
        <v>300</v>
      </c>
      <c r="U172" s="5"/>
      <c r="V172" s="5"/>
      <c r="W172" s="5"/>
      <c r="X172" s="5" t="s">
        <v>331</v>
      </c>
      <c r="Y172" s="10" t="s">
        <v>78</v>
      </c>
      <c r="Z172" s="5" t="s">
        <v>577</v>
      </c>
      <c r="AA172">
        <f>COUNTIF([1]Sheet1!$Q:$R, "*"&amp; A172&amp;"*")</f>
        <v>0</v>
      </c>
    </row>
    <row r="173" spans="1:27" x14ac:dyDescent="0.2">
      <c r="A173" s="5">
        <v>110012</v>
      </c>
      <c r="B173" s="5" t="s">
        <v>261</v>
      </c>
      <c r="C173" s="5">
        <v>1</v>
      </c>
      <c r="D173" s="5">
        <f>INT(E173/3)</f>
        <v>20</v>
      </c>
      <c r="E173" s="5">
        <v>61</v>
      </c>
      <c r="F173" s="5">
        <v>77</v>
      </c>
      <c r="G173" s="5">
        <v>13</v>
      </c>
      <c r="H173" s="5">
        <v>75</v>
      </c>
      <c r="I173" s="5">
        <v>82</v>
      </c>
      <c r="J173" s="5">
        <f>SUM(E173:I173)</f>
        <v>308</v>
      </c>
      <c r="K173" s="5">
        <v>270</v>
      </c>
      <c r="L173" s="5">
        <v>10</v>
      </c>
      <c r="M173" s="5">
        <v>10</v>
      </c>
      <c r="N173" s="5">
        <v>17</v>
      </c>
      <c r="O173" s="5">
        <v>15</v>
      </c>
      <c r="P173" s="5"/>
      <c r="Q173" s="5">
        <f>MAX(25, INT(POWER(2.2,J173/45)))</f>
        <v>220</v>
      </c>
      <c r="R173" s="5">
        <v>0</v>
      </c>
      <c r="S173" s="5">
        <v>3</v>
      </c>
      <c r="T173" s="5" t="s">
        <v>307</v>
      </c>
      <c r="U173" s="5"/>
      <c r="V173" s="5" t="s">
        <v>373</v>
      </c>
      <c r="W173" s="5"/>
      <c r="X173" s="5" t="s">
        <v>332</v>
      </c>
      <c r="Y173" s="10" t="s">
        <v>77</v>
      </c>
      <c r="Z173" s="5" t="s">
        <v>578</v>
      </c>
      <c r="AA173">
        <f>COUNTIF([1]Sheet1!$Q:$R, "*"&amp; A173&amp;"*")</f>
        <v>0</v>
      </c>
    </row>
  </sheetData>
  <autoFilter ref="A4:Z173">
    <sortState ref="A5:Z172">
      <sortCondition ref="A4:A172"/>
    </sortState>
  </autoFilter>
  <sortState ref="A5:Q43">
    <sortCondition ref="A41"/>
  </sortState>
  <phoneticPr fontId="2" type="noConversion"/>
  <conditionalFormatting sqref="E82:I89 E97:I141 E145:I150 E5:I16 E18:I50">
    <cfRule type="cellIs" dxfId="56" priority="127" operator="greaterThanOrEqual">
      <formula>90</formula>
    </cfRule>
  </conditionalFormatting>
  <conditionalFormatting sqref="K162:K164 K145:K152 K97:K143 K55:K92 K154:K155 K5:K16 K18:K52">
    <cfRule type="dataBar" priority="1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{6D27258E-286A-4BBA-996A-016D40224027}</x14:id>
        </ext>
      </extLst>
    </cfRule>
  </conditionalFormatting>
  <conditionalFormatting sqref="E51:I52 E55:I81">
    <cfRule type="cellIs" dxfId="55" priority="125" operator="greaterThanOrEqual">
      <formula>90</formula>
    </cfRule>
  </conditionalFormatting>
  <conditionalFormatting sqref="K51:K52 K55:K81">
    <cfRule type="dataBar" priority="1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{C2E3C695-FCC7-49D7-9DE4-0656165C56F7}</x14:id>
        </ext>
      </extLst>
    </cfRule>
  </conditionalFormatting>
  <conditionalFormatting sqref="E152:I152">
    <cfRule type="cellIs" dxfId="54" priority="123" operator="greaterThanOrEqual">
      <formula>90</formula>
    </cfRule>
  </conditionalFormatting>
  <conditionalFormatting sqref="K162:K164 K82:K92 K129:K143 K145:K152 K97:K127 K154:K155">
    <cfRule type="dataBar" priority="1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{89569351-4EC6-40D7-B258-5869F2C87309}</x14:id>
        </ext>
      </extLst>
    </cfRule>
  </conditionalFormatting>
  <conditionalFormatting sqref="E151:I151">
    <cfRule type="cellIs" dxfId="53" priority="121" operator="greaterThanOrEqual">
      <formula>90</formula>
    </cfRule>
  </conditionalFormatting>
  <conditionalFormatting sqref="K151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{5747AD9A-30C0-4FA1-8964-61F75CF9B94A}</x14:id>
        </ext>
      </extLst>
    </cfRule>
  </conditionalFormatting>
  <conditionalFormatting sqref="E154:I154">
    <cfRule type="cellIs" dxfId="52" priority="119" operator="greaterThanOrEqual">
      <formula>90</formula>
    </cfRule>
  </conditionalFormatting>
  <conditionalFormatting sqref="K154">
    <cfRule type="dataBar" priority="1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{290C0596-F881-4667-80DD-345DFA45DFC3}</x14:id>
        </ext>
      </extLst>
    </cfRule>
  </conditionalFormatting>
  <conditionalFormatting sqref="K47:K49">
    <cfRule type="dataBar" priority="1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{57484950-6EB8-4F43-81A8-883DCD06E927}</x14:id>
        </ext>
      </extLst>
    </cfRule>
  </conditionalFormatting>
  <conditionalFormatting sqref="K128">
    <cfRule type="dataBar" priority="1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{51A5D7DF-89C2-4665-90DC-CA042A9461FD}</x14:id>
        </ext>
      </extLst>
    </cfRule>
  </conditionalFormatting>
  <conditionalFormatting sqref="E155:I155">
    <cfRule type="cellIs" dxfId="51" priority="114" operator="greaterThanOrEqual">
      <formula>90</formula>
    </cfRule>
  </conditionalFormatting>
  <conditionalFormatting sqref="K155">
    <cfRule type="dataBar" priority="1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{60941D5F-35EE-4787-808B-E223453097C1}</x14:id>
        </ext>
      </extLst>
    </cfRule>
  </conditionalFormatting>
  <conditionalFormatting sqref="E162:I162">
    <cfRule type="cellIs" dxfId="50" priority="112" operator="greaterThanOrEqual">
      <formula>90</formula>
    </cfRule>
  </conditionalFormatting>
  <conditionalFormatting sqref="K162"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{7D049A95-BE4F-40CF-96E1-0BB1395EABCB}</x14:id>
        </ext>
      </extLst>
    </cfRule>
  </conditionalFormatting>
  <conditionalFormatting sqref="E163:I163">
    <cfRule type="cellIs" dxfId="49" priority="110" operator="greaterThanOrEqual">
      <formula>90</formula>
    </cfRule>
  </conditionalFormatting>
  <conditionalFormatting sqref="K163">
    <cfRule type="dataBar" priority="1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{16F0B95A-40FC-44A3-BC81-E0B17B15C13D}</x14:id>
        </ext>
      </extLst>
    </cfRule>
  </conditionalFormatting>
  <conditionalFormatting sqref="E164:I164">
    <cfRule type="cellIs" dxfId="48" priority="108" operator="greaterThanOrEqual">
      <formula>90</formula>
    </cfRule>
  </conditionalFormatting>
  <conditionalFormatting sqref="K164">
    <cfRule type="dataBar" priority="10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{B5B78097-DB73-45FB-A181-D68272AA0477}</x14:id>
        </ext>
      </extLst>
    </cfRule>
  </conditionalFormatting>
  <conditionalFormatting sqref="K128">
    <cfRule type="dataBar" priority="10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{0D6DE7FA-908E-4433-AACD-B46895A3B187}</x14:id>
        </ext>
      </extLst>
    </cfRule>
  </conditionalFormatting>
  <conditionalFormatting sqref="K165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{F83EE768-6456-4DFC-A32A-DD825D9833DE}</x14:id>
        </ext>
      </extLst>
    </cfRule>
  </conditionalFormatting>
  <conditionalFormatting sqref="K165">
    <cfRule type="dataBar" priority="1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{143D3CBF-0919-472B-9D1D-66DFC3229637}</x14:id>
        </ext>
      </extLst>
    </cfRule>
  </conditionalFormatting>
  <conditionalFormatting sqref="E165:I165">
    <cfRule type="cellIs" dxfId="47" priority="103" operator="greaterThanOrEqual">
      <formula>90</formula>
    </cfRule>
  </conditionalFormatting>
  <conditionalFormatting sqref="K165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{E4F7FACC-0A58-4AE9-A924-5263E6D9EFBC}</x14:id>
        </ext>
      </extLst>
    </cfRule>
  </conditionalFormatting>
  <conditionalFormatting sqref="K166">
    <cfRule type="dataBar" priority="1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{3BB369B6-B4A0-47D5-BC41-6C2AD7D8266B}</x14:id>
        </ext>
      </extLst>
    </cfRule>
  </conditionalFormatting>
  <conditionalFormatting sqref="K166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{E7BBACD2-EEC3-4487-BA6A-9AEDA50E7EA6}</x14:id>
        </ext>
      </extLst>
    </cfRule>
  </conditionalFormatting>
  <conditionalFormatting sqref="E166:I166">
    <cfRule type="cellIs" dxfId="46" priority="99" operator="greaterThanOrEqual">
      <formula>90</formula>
    </cfRule>
  </conditionalFormatting>
  <conditionalFormatting sqref="K166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{5C49F946-3EB1-4074-B86B-8F538F638A68}</x14:id>
        </ext>
      </extLst>
    </cfRule>
  </conditionalFormatting>
  <conditionalFormatting sqref="K167">
    <cfRule type="dataBar" priority="9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{0E95A6F8-3D61-4ECB-8313-A394F8C9CA83}</x14:id>
        </ext>
      </extLst>
    </cfRule>
  </conditionalFormatting>
  <conditionalFormatting sqref="K167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{1B937831-179C-40FC-9F80-A5C818D75A1D}</x14:id>
        </ext>
      </extLst>
    </cfRule>
  </conditionalFormatting>
  <conditionalFormatting sqref="E167:I167">
    <cfRule type="cellIs" dxfId="45" priority="95" operator="greaterThanOrEqual">
      <formula>90</formula>
    </cfRule>
  </conditionalFormatting>
  <conditionalFormatting sqref="K167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{49833E3D-D536-4BEF-835B-07451AA1E9C3}</x14:id>
        </ext>
      </extLst>
    </cfRule>
  </conditionalFormatting>
  <conditionalFormatting sqref="K162:K167 K145:K152 K97:K143 K55:K92 K154:K155 K5:K16 K18:K52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{759578B6-F4BA-4A8B-8E09-AB7FAA44A561}</x14:id>
        </ext>
      </extLst>
    </cfRule>
  </conditionalFormatting>
  <conditionalFormatting sqref="E90:I91">
    <cfRule type="cellIs" dxfId="44" priority="92" operator="greaterThanOrEqual">
      <formula>90</formula>
    </cfRule>
  </conditionalFormatting>
  <conditionalFormatting sqref="E92:I92">
    <cfRule type="cellIs" dxfId="43" priority="91" operator="greaterThanOrEqual">
      <formula>90</formula>
    </cfRule>
  </conditionalFormatting>
  <conditionalFormatting sqref="E142:I142">
    <cfRule type="cellIs" dxfId="42" priority="90" operator="greaterThanOrEqual">
      <formula>90</formula>
    </cfRule>
  </conditionalFormatting>
  <conditionalFormatting sqref="E143:I143">
    <cfRule type="cellIs" dxfId="41" priority="89" operator="greaterThanOrEqual">
      <formula>90</formula>
    </cfRule>
  </conditionalFormatting>
  <conditionalFormatting sqref="E168:I168">
    <cfRule type="cellIs" dxfId="40" priority="88" operator="greaterThanOrEqual">
      <formula>90</formula>
    </cfRule>
  </conditionalFormatting>
  <conditionalFormatting sqref="E169:I169">
    <cfRule type="cellIs" dxfId="39" priority="87" operator="greaterThanOrEqual">
      <formula>90</formula>
    </cfRule>
  </conditionalFormatting>
  <conditionalFormatting sqref="E170:I170">
    <cfRule type="cellIs" dxfId="38" priority="86" operator="greaterThanOrEqual">
      <formula>90</formula>
    </cfRule>
  </conditionalFormatting>
  <conditionalFormatting sqref="E156:I156">
    <cfRule type="cellIs" dxfId="37" priority="85" operator="greaterThanOrEqual">
      <formula>90</formula>
    </cfRule>
  </conditionalFormatting>
  <conditionalFormatting sqref="E157:I157">
    <cfRule type="cellIs" dxfId="36" priority="80" operator="greaterThanOrEqual">
      <formula>90</formula>
    </cfRule>
  </conditionalFormatting>
  <conditionalFormatting sqref="E158:I158">
    <cfRule type="cellIs" dxfId="35" priority="79" operator="greaterThanOrEqual">
      <formula>90</formula>
    </cfRule>
  </conditionalFormatting>
  <conditionalFormatting sqref="E159:I159">
    <cfRule type="cellIs" dxfId="34" priority="78" operator="greaterThanOrEqual">
      <formula>90</formula>
    </cfRule>
  </conditionalFormatting>
  <conditionalFormatting sqref="E160:I160">
    <cfRule type="cellIs" dxfId="33" priority="77" operator="greaterThanOrEqual">
      <formula>90</formula>
    </cfRule>
  </conditionalFormatting>
  <conditionalFormatting sqref="E161:I161">
    <cfRule type="cellIs" dxfId="32" priority="76" operator="greaterThanOrEqual">
      <formula>90</formula>
    </cfRule>
  </conditionalFormatting>
  <conditionalFormatting sqref="K156:K161">
    <cfRule type="dataBar" priority="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{A920A414-E4F9-4E2D-9513-A6931876CE7B}</x14:id>
        </ext>
      </extLst>
    </cfRule>
  </conditionalFormatting>
  <conditionalFormatting sqref="K156:K161">
    <cfRule type="dataBar" priority="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{194118F1-D462-4450-9B06-F363BF9160D0}</x14:id>
        </ext>
      </extLst>
    </cfRule>
  </conditionalFormatting>
  <conditionalFormatting sqref="K156:K161">
    <cfRule type="dataBar" priority="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{0E536859-5B5C-4BD2-8D76-4F61356FE406}</x14:id>
        </ext>
      </extLst>
    </cfRule>
  </conditionalFormatting>
  <conditionalFormatting sqref="K168:K170"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{4D7B914B-CD20-488B-9D82-3BFDFFD2FD62}</x14:id>
        </ext>
      </extLst>
    </cfRule>
  </conditionalFormatting>
  <conditionalFormatting sqref="K168:K170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{09C40B8E-EA5B-4F04-A60C-E6D451D33B09}</x14:id>
        </ext>
      </extLst>
    </cfRule>
  </conditionalFormatting>
  <conditionalFormatting sqref="K168:K17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{AAE43648-3924-4CC9-8F60-05C0F2111487}</x14:id>
        </ext>
      </extLst>
    </cfRule>
  </conditionalFormatting>
  <conditionalFormatting sqref="E144:I144">
    <cfRule type="cellIs" dxfId="31" priority="69" operator="greaterThanOrEqual">
      <formula>90</formula>
    </cfRule>
  </conditionalFormatting>
  <conditionalFormatting sqref="K14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{7D2393E4-2AEF-41DF-B003-A8528B2B78C8}</x14:id>
        </ext>
      </extLst>
    </cfRule>
  </conditionalFormatting>
  <conditionalFormatting sqref="K14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{6AD154EB-1656-45E0-8778-8D6BE129AEE8}</x14:id>
        </ext>
      </extLst>
    </cfRule>
  </conditionalFormatting>
  <conditionalFormatting sqref="K144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{89EC9433-D839-44A4-817B-624E802CA2D2}</x14:id>
        </ext>
      </extLst>
    </cfRule>
  </conditionalFormatting>
  <conditionalFormatting sqref="K93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{1B1E32D7-7F2F-4843-BD47-AF15B0A3EE6C}</x14:id>
        </ext>
      </extLst>
    </cfRule>
  </conditionalFormatting>
  <conditionalFormatting sqref="K93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{6E8BD056-C40A-4A9A-ACF6-73E041B30412}</x14:id>
        </ext>
      </extLst>
    </cfRule>
  </conditionalFormatting>
  <conditionalFormatting sqref="K93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{A3F10246-BBEC-400C-B955-A0AAD0903028}</x14:id>
        </ext>
      </extLst>
    </cfRule>
  </conditionalFormatting>
  <conditionalFormatting sqref="E93:I93">
    <cfRule type="cellIs" dxfId="30" priority="62" operator="greaterThanOrEqual">
      <formula>90</formula>
    </cfRule>
  </conditionalFormatting>
  <conditionalFormatting sqref="E53:I53">
    <cfRule type="cellIs" dxfId="29" priority="61" operator="greaterThanOrEqual">
      <formula>90</formula>
    </cfRule>
  </conditionalFormatting>
  <conditionalFormatting sqref="K53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{33156F16-23D3-49FB-BD69-61F17207F66D}</x14:id>
        </ext>
      </extLst>
    </cfRule>
  </conditionalFormatting>
  <conditionalFormatting sqref="K53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{F4050B96-9155-465E-AB20-5B4D19299A59}</x14:id>
        </ext>
      </extLst>
    </cfRule>
  </conditionalFormatting>
  <conditionalFormatting sqref="E94:I94">
    <cfRule type="cellIs" dxfId="28" priority="58" operator="greaterThanOrEqual">
      <formula>90</formula>
    </cfRule>
  </conditionalFormatting>
  <conditionalFormatting sqref="K94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{FEFC999C-28A3-48A4-92D5-983E78BE477A}</x14:id>
        </ext>
      </extLst>
    </cfRule>
  </conditionalFormatting>
  <conditionalFormatting sqref="K94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{B6FDB7E2-D826-4743-AA79-7DEC7D0C1B1C}</x14:id>
        </ext>
      </extLst>
    </cfRule>
  </conditionalFormatting>
  <conditionalFormatting sqref="K94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{EF047C26-4A03-4DE8-BB2C-21FA24017A53}</x14:id>
        </ext>
      </extLst>
    </cfRule>
  </conditionalFormatting>
  <conditionalFormatting sqref="K171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{9F616835-EC05-49EF-8397-2CB880AC8C5F}</x14:id>
        </ext>
      </extLst>
    </cfRule>
  </conditionalFormatting>
  <conditionalFormatting sqref="K171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{2AB6DF0C-9143-45B9-A5E1-B72CBF21292B}</x14:id>
        </ext>
      </extLst>
    </cfRule>
  </conditionalFormatting>
  <conditionalFormatting sqref="E171:I171">
    <cfRule type="cellIs" dxfId="27" priority="52" operator="greaterThanOrEqual">
      <formula>90</formula>
    </cfRule>
  </conditionalFormatting>
  <conditionalFormatting sqref="K171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{830CCE14-E5E0-451B-9E12-36FBF6AA5A97}</x14:id>
        </ext>
      </extLst>
    </cfRule>
  </conditionalFormatting>
  <conditionalFormatting sqref="K171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{B2973B7F-6E17-4B03-B3E8-C6DD4D4DADC6}</x14:id>
        </ext>
      </extLst>
    </cfRule>
  </conditionalFormatting>
  <conditionalFormatting sqref="K153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{35CD999C-F217-4618-83AA-89C0903F3DEA}</x14:id>
        </ext>
      </extLst>
    </cfRule>
  </conditionalFormatting>
  <conditionalFormatting sqref="E153:I153">
    <cfRule type="cellIs" dxfId="26" priority="48" operator="greaterThanOrEqual">
      <formula>90</formula>
    </cfRule>
  </conditionalFormatting>
  <conditionalFormatting sqref="K153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{4D822373-FECE-4254-B01F-A5B02BE18050}</x14:id>
        </ext>
      </extLst>
    </cfRule>
  </conditionalFormatting>
  <conditionalFormatting sqref="K153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{FE582ED9-81E3-417C-ACF5-EB1E5D390780}</x14:id>
        </ext>
      </extLst>
    </cfRule>
  </conditionalFormatting>
  <conditionalFormatting sqref="K172"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{BA0CF356-84D8-4144-AAB7-283E19F40B11}</x14:id>
        </ext>
      </extLst>
    </cfRule>
  </conditionalFormatting>
  <conditionalFormatting sqref="K172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{0F0440D3-8BAB-423E-A8BB-67E659699001}</x14:id>
        </ext>
      </extLst>
    </cfRule>
  </conditionalFormatting>
  <conditionalFormatting sqref="E172:I172">
    <cfRule type="cellIs" dxfId="25" priority="43" operator="greaterThanOrEqual">
      <formula>90</formula>
    </cfRule>
  </conditionalFormatting>
  <conditionalFormatting sqref="K172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{9D20DC01-F0E3-4B80-9D00-7D0B24B8C89F}</x14:id>
        </ext>
      </extLst>
    </cfRule>
  </conditionalFormatting>
  <conditionalFormatting sqref="K172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{361623A9-807F-4A08-949E-20344A2E9C48}</x14:id>
        </ext>
      </extLst>
    </cfRule>
  </conditionalFormatting>
  <conditionalFormatting sqref="K95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{5C9B3ADB-15E7-4D5E-B1E9-222893C9F0F8}</x14:id>
        </ext>
      </extLst>
    </cfRule>
  </conditionalFormatting>
  <conditionalFormatting sqref="K95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{BA65D940-DBE4-4452-BF8D-9B9F9806A050}</x14:id>
        </ext>
      </extLst>
    </cfRule>
  </conditionalFormatting>
  <conditionalFormatting sqref="E95:I95">
    <cfRule type="cellIs" dxfId="24" priority="38" operator="greaterThanOrEqual">
      <formula>90</formula>
    </cfRule>
  </conditionalFormatting>
  <conditionalFormatting sqref="K95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{46CE5ABB-1E01-4399-9EFD-045202645811}</x14:id>
        </ext>
      </extLst>
    </cfRule>
  </conditionalFormatting>
  <conditionalFormatting sqref="K95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{AF9C6A0B-AED2-4256-B0B3-DA1A125167AE}</x14:id>
        </ext>
      </extLst>
    </cfRule>
  </conditionalFormatting>
  <conditionalFormatting sqref="K173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{887E5351-57DA-49BF-8966-9ADECADAC91A}</x14:id>
        </ext>
      </extLst>
    </cfRule>
  </conditionalFormatting>
  <conditionalFormatting sqref="K173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{E89D53E5-C268-42E9-9A48-E8B6BC6BE13B}</x14:id>
        </ext>
      </extLst>
    </cfRule>
  </conditionalFormatting>
  <conditionalFormatting sqref="E173:I173">
    <cfRule type="cellIs" dxfId="23" priority="33" operator="greaterThanOrEqual">
      <formula>90</formula>
    </cfRule>
  </conditionalFormatting>
  <conditionalFormatting sqref="K17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{9128611D-0012-40DE-B328-3A91210C06A9}</x14:id>
        </ext>
      </extLst>
    </cfRule>
  </conditionalFormatting>
  <conditionalFormatting sqref="K173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{BF118C4C-8F2C-41CD-B84D-88EA5BF2CA77}</x14:id>
        </ext>
      </extLst>
    </cfRule>
  </conditionalFormatting>
  <conditionalFormatting sqref="E96:I96">
    <cfRule type="cellIs" dxfId="22" priority="30" operator="greaterThanOrEqual">
      <formula>90</formula>
    </cfRule>
  </conditionalFormatting>
  <conditionalFormatting sqref="K96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{E4302F84-A67D-4362-9EEC-AA58C2B34336}</x14:id>
        </ext>
      </extLst>
    </cfRule>
  </conditionalFormatting>
  <conditionalFormatting sqref="K96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{6A023DB8-62F6-4111-867B-773E76297DD9}</x14:id>
        </ext>
      </extLst>
    </cfRule>
  </conditionalFormatting>
  <conditionalFormatting sqref="K96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{EDB7077A-02F6-4190-86E4-6B9091E59479}</x14:id>
        </ext>
      </extLst>
    </cfRule>
  </conditionalFormatting>
  <conditionalFormatting sqref="E54:I54">
    <cfRule type="cellIs" dxfId="21" priority="26" operator="greaterThanOrEqual">
      <formula>90</formula>
    </cfRule>
  </conditionalFormatting>
  <conditionalFormatting sqref="K5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{E06D961F-60D3-4F30-AC7D-752D9022DA0B}</x14:id>
        </ext>
      </extLst>
    </cfRule>
  </conditionalFormatting>
  <conditionalFormatting sqref="K54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{82C00C9E-16C4-430A-894C-A1AA6D525001}</x14:id>
        </ext>
      </extLst>
    </cfRule>
  </conditionalFormatting>
  <conditionalFormatting sqref="T1:T16 T18:T1048576">
    <cfRule type="cellIs" dxfId="20" priority="14" operator="equal">
      <formula>"炮"</formula>
    </cfRule>
    <cfRule type="cellIs" dxfId="19" priority="15" operator="equal">
      <formula>"弩"</formula>
    </cfRule>
    <cfRule type="cellIs" dxfId="18" priority="16" operator="equal">
      <formula>"弓"</formula>
    </cfRule>
    <cfRule type="cellIs" dxfId="17" priority="17" operator="equal">
      <formula>"医"</formula>
    </cfRule>
    <cfRule type="cellIs" dxfId="16" priority="18" operator="equal">
      <formula>"乐"</formula>
    </cfRule>
    <cfRule type="cellIs" dxfId="15" priority="19" operator="equal">
      <formula>"鼓"</formula>
    </cfRule>
    <cfRule type="cellIs" dxfId="14" priority="20" operator="equal">
      <formula>"相"</formula>
    </cfRule>
    <cfRule type="cellIs" dxfId="13" priority="21" operator="equal">
      <formula>"扇"</formula>
    </cfRule>
    <cfRule type="cellIs" dxfId="12" priority="22" operator="equal">
      <formula>"谋"</formula>
    </cfRule>
    <cfRule type="cellIs" dxfId="11" priority="23" operator="equal">
      <formula>"帅"</formula>
    </cfRule>
  </conditionalFormatting>
  <conditionalFormatting sqref="E17:I17">
    <cfRule type="cellIs" dxfId="10" priority="13" operator="greaterThanOrEqual">
      <formula>90</formula>
    </cfRule>
  </conditionalFormatting>
  <conditionalFormatting sqref="K17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{8167AB94-CA8C-4EF8-A5F8-4DE0EBF71DAE}</x14:id>
        </ext>
      </extLst>
    </cfRule>
  </conditionalFormatting>
  <conditionalFormatting sqref="K17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{6AE15EA0-197B-4FEF-8F35-E7DE02D9642C}</x14:id>
        </ext>
      </extLst>
    </cfRule>
  </conditionalFormatting>
  <conditionalFormatting sqref="T17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27258E-286A-4BBA-996A-016D40224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K162:K164 K145:K152 K97:K143 K55:K92 K154:K155 K5:K16 K18:K52</xm:sqref>
        </x14:conditionalFormatting>
        <x14:conditionalFormatting xmlns:xm="http://schemas.microsoft.com/office/excel/2006/main">
          <x14:cfRule type="dataBar" id="{C2E3C695-FCC7-49D7-9DE4-0656165C56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K51:K52 K55:K81</xm:sqref>
        </x14:conditionalFormatting>
        <x14:conditionalFormatting xmlns:xm="http://schemas.microsoft.com/office/excel/2006/main">
          <x14:cfRule type="dataBar" id="{89569351-4EC6-40D7-B258-5869F2C8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K162:K164 K82:K92 K129:K143 K145:K152 K97:K127 K154:K155</xm:sqref>
        </x14:conditionalFormatting>
        <x14:conditionalFormatting xmlns:xm="http://schemas.microsoft.com/office/excel/2006/main">
          <x14:cfRule type="dataBar" id="{5747AD9A-30C0-4FA1-8964-61F75CF9B9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K151</xm:sqref>
        </x14:conditionalFormatting>
        <x14:conditionalFormatting xmlns:xm="http://schemas.microsoft.com/office/excel/2006/main">
          <x14:cfRule type="dataBar" id="{290C0596-F881-4667-80DD-345DFA45DF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K154</xm:sqref>
        </x14:conditionalFormatting>
        <x14:conditionalFormatting xmlns:xm="http://schemas.microsoft.com/office/excel/2006/main">
          <x14:cfRule type="dataBar" id="{57484950-6EB8-4F43-81A8-883DCD06E9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K47:K49</xm:sqref>
        </x14:conditionalFormatting>
        <x14:conditionalFormatting xmlns:xm="http://schemas.microsoft.com/office/excel/2006/main">
          <x14:cfRule type="dataBar" id="{51A5D7DF-89C2-4665-90DC-CA042A9461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K128</xm:sqref>
        </x14:conditionalFormatting>
        <x14:conditionalFormatting xmlns:xm="http://schemas.microsoft.com/office/excel/2006/main">
          <x14:cfRule type="dataBar" id="{60941D5F-35EE-4787-808B-E223453097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K155</xm:sqref>
        </x14:conditionalFormatting>
        <x14:conditionalFormatting xmlns:xm="http://schemas.microsoft.com/office/excel/2006/main">
          <x14:cfRule type="dataBar" id="{7D049A95-BE4F-40CF-96E1-0BB1395EAB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</xm:sqref>
        </x14:conditionalFormatting>
        <x14:conditionalFormatting xmlns:xm="http://schemas.microsoft.com/office/excel/2006/main">
          <x14:cfRule type="dataBar" id="{16F0B95A-40FC-44A3-BC81-E0B17B15C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K163</xm:sqref>
        </x14:conditionalFormatting>
        <x14:conditionalFormatting xmlns:xm="http://schemas.microsoft.com/office/excel/2006/main">
          <x14:cfRule type="dataBar" id="{B5B78097-DB73-45FB-A181-D68272AA04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K164</xm:sqref>
        </x14:conditionalFormatting>
        <x14:conditionalFormatting xmlns:xm="http://schemas.microsoft.com/office/excel/2006/main">
          <x14:cfRule type="dataBar" id="{0D6DE7FA-908E-4433-AACD-B46895A3B1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K128</xm:sqref>
        </x14:conditionalFormatting>
        <x14:conditionalFormatting xmlns:xm="http://schemas.microsoft.com/office/excel/2006/main">
          <x14:cfRule type="dataBar" id="{F83EE768-6456-4DFC-A32A-DD825D983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K165</xm:sqref>
        </x14:conditionalFormatting>
        <x14:conditionalFormatting xmlns:xm="http://schemas.microsoft.com/office/excel/2006/main">
          <x14:cfRule type="dataBar" id="{143D3CBF-0919-472B-9D1D-66DFC3229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K165</xm:sqref>
        </x14:conditionalFormatting>
        <x14:conditionalFormatting xmlns:xm="http://schemas.microsoft.com/office/excel/2006/main">
          <x14:cfRule type="dataBar" id="{E4F7FACC-0A58-4AE9-A924-5263E6D9EF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K165</xm:sqref>
        </x14:conditionalFormatting>
        <x14:conditionalFormatting xmlns:xm="http://schemas.microsoft.com/office/excel/2006/main">
          <x14:cfRule type="dataBar" id="{3BB369B6-B4A0-47D5-BC41-6C2AD7D826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K166</xm:sqref>
        </x14:conditionalFormatting>
        <x14:conditionalFormatting xmlns:xm="http://schemas.microsoft.com/office/excel/2006/main">
          <x14:cfRule type="dataBar" id="{E7BBACD2-EEC3-4487-BA6A-9AEDA50E7E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K166</xm:sqref>
        </x14:conditionalFormatting>
        <x14:conditionalFormatting xmlns:xm="http://schemas.microsoft.com/office/excel/2006/main">
          <x14:cfRule type="dataBar" id="{5C49F946-3EB1-4074-B86B-8F538F638A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K166</xm:sqref>
        </x14:conditionalFormatting>
        <x14:conditionalFormatting xmlns:xm="http://schemas.microsoft.com/office/excel/2006/main">
          <x14:cfRule type="dataBar" id="{0E95A6F8-3D61-4ECB-8313-A394F8C9C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1B937831-179C-40FC-9F80-A5C818D75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49833E3D-D536-4BEF-835B-07451AA1E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759578B6-F4BA-4A8B-8E09-AB7FAA44A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K162:K167 K145:K152 K97:K143 K55:K92 K154:K155 K5:K16 K18:K52</xm:sqref>
        </x14:conditionalFormatting>
        <x14:conditionalFormatting xmlns:xm="http://schemas.microsoft.com/office/excel/2006/main">
          <x14:cfRule type="dataBar" id="{A920A414-E4F9-4E2D-9513-A6931876CE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K156:K161</xm:sqref>
        </x14:conditionalFormatting>
        <x14:conditionalFormatting xmlns:xm="http://schemas.microsoft.com/office/excel/2006/main">
          <x14:cfRule type="dataBar" id="{194118F1-D462-4450-9B06-F363BF9160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K156:K161</xm:sqref>
        </x14:conditionalFormatting>
        <x14:conditionalFormatting xmlns:xm="http://schemas.microsoft.com/office/excel/2006/main">
          <x14:cfRule type="dataBar" id="{0E536859-5B5C-4BD2-8D76-4F61356FE4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K156:K161</xm:sqref>
        </x14:conditionalFormatting>
        <x14:conditionalFormatting xmlns:xm="http://schemas.microsoft.com/office/excel/2006/main">
          <x14:cfRule type="dataBar" id="{4D7B914B-CD20-488B-9D82-3BFDFFD2FD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K168:K170</xm:sqref>
        </x14:conditionalFormatting>
        <x14:conditionalFormatting xmlns:xm="http://schemas.microsoft.com/office/excel/2006/main">
          <x14:cfRule type="dataBar" id="{09C40B8E-EA5B-4F04-A60C-E6D451D33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K168:K170</xm:sqref>
        </x14:conditionalFormatting>
        <x14:conditionalFormatting xmlns:xm="http://schemas.microsoft.com/office/excel/2006/main">
          <x14:cfRule type="dataBar" id="{AAE43648-3924-4CC9-8F60-05C0F21114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K168:K170</xm:sqref>
        </x14:conditionalFormatting>
        <x14:conditionalFormatting xmlns:xm="http://schemas.microsoft.com/office/excel/2006/main">
          <x14:cfRule type="dataBar" id="{7D2393E4-2AEF-41DF-B003-A8528B2B78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K144</xm:sqref>
        </x14:conditionalFormatting>
        <x14:conditionalFormatting xmlns:xm="http://schemas.microsoft.com/office/excel/2006/main">
          <x14:cfRule type="dataBar" id="{6AD154EB-1656-45E0-8778-8D6BE129A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K144</xm:sqref>
        </x14:conditionalFormatting>
        <x14:conditionalFormatting xmlns:xm="http://schemas.microsoft.com/office/excel/2006/main">
          <x14:cfRule type="dataBar" id="{89EC9433-D839-44A4-817B-624E802CA2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K144</xm:sqref>
        </x14:conditionalFormatting>
        <x14:conditionalFormatting xmlns:xm="http://schemas.microsoft.com/office/excel/2006/main">
          <x14:cfRule type="dataBar" id="{1B1E32D7-7F2F-4843-BD47-AF15B0A3EE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K93</xm:sqref>
        </x14:conditionalFormatting>
        <x14:conditionalFormatting xmlns:xm="http://schemas.microsoft.com/office/excel/2006/main">
          <x14:cfRule type="dataBar" id="{6E8BD056-C40A-4A9A-ACF6-73E041B30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K93</xm:sqref>
        </x14:conditionalFormatting>
        <x14:conditionalFormatting xmlns:xm="http://schemas.microsoft.com/office/excel/2006/main">
          <x14:cfRule type="dataBar" id="{A3F10246-BBEC-400C-B955-A0AAD09030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K93</xm:sqref>
        </x14:conditionalFormatting>
        <x14:conditionalFormatting xmlns:xm="http://schemas.microsoft.com/office/excel/2006/main">
          <x14:cfRule type="dataBar" id="{33156F16-23D3-49FB-BD69-61F17207F6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K53</xm:sqref>
        </x14:conditionalFormatting>
        <x14:conditionalFormatting xmlns:xm="http://schemas.microsoft.com/office/excel/2006/main">
          <x14:cfRule type="dataBar" id="{F4050B96-9155-465E-AB20-5B4D19299A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K53</xm:sqref>
        </x14:conditionalFormatting>
        <x14:conditionalFormatting xmlns:xm="http://schemas.microsoft.com/office/excel/2006/main">
          <x14:cfRule type="dataBar" id="{FEFC999C-28A3-48A4-92D5-983E78BE4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K94</xm:sqref>
        </x14:conditionalFormatting>
        <x14:conditionalFormatting xmlns:xm="http://schemas.microsoft.com/office/excel/2006/main">
          <x14:cfRule type="dataBar" id="{B6FDB7E2-D826-4743-AA79-7DEC7D0C1B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K94</xm:sqref>
        </x14:conditionalFormatting>
        <x14:conditionalFormatting xmlns:xm="http://schemas.microsoft.com/office/excel/2006/main">
          <x14:cfRule type="dataBar" id="{EF047C26-4A03-4DE8-BB2C-21FA24017A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K94</xm:sqref>
        </x14:conditionalFormatting>
        <x14:conditionalFormatting xmlns:xm="http://schemas.microsoft.com/office/excel/2006/main">
          <x14:cfRule type="dataBar" id="{9F616835-EC05-49EF-8397-2CB880AC8C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K171</xm:sqref>
        </x14:conditionalFormatting>
        <x14:conditionalFormatting xmlns:xm="http://schemas.microsoft.com/office/excel/2006/main">
          <x14:cfRule type="dataBar" id="{2AB6DF0C-9143-45B9-A5E1-B72CBF2129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K171</xm:sqref>
        </x14:conditionalFormatting>
        <x14:conditionalFormatting xmlns:xm="http://schemas.microsoft.com/office/excel/2006/main">
          <x14:cfRule type="dataBar" id="{830CCE14-E5E0-451B-9E12-36FBF6AA5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K171</xm:sqref>
        </x14:conditionalFormatting>
        <x14:conditionalFormatting xmlns:xm="http://schemas.microsoft.com/office/excel/2006/main">
          <x14:cfRule type="dataBar" id="{B2973B7F-6E17-4B03-B3E8-C6DD4D4DAD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K171</xm:sqref>
        </x14:conditionalFormatting>
        <x14:conditionalFormatting xmlns:xm="http://schemas.microsoft.com/office/excel/2006/main">
          <x14:cfRule type="dataBar" id="{35CD999C-F217-4618-83AA-89C0903F3D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K153</xm:sqref>
        </x14:conditionalFormatting>
        <x14:conditionalFormatting xmlns:xm="http://schemas.microsoft.com/office/excel/2006/main">
          <x14:cfRule type="dataBar" id="{4D822373-FECE-4254-B01F-A5B02BE18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K153</xm:sqref>
        </x14:conditionalFormatting>
        <x14:conditionalFormatting xmlns:xm="http://schemas.microsoft.com/office/excel/2006/main">
          <x14:cfRule type="dataBar" id="{FE582ED9-81E3-417C-ACF5-EB1E5D3907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K153</xm:sqref>
        </x14:conditionalFormatting>
        <x14:conditionalFormatting xmlns:xm="http://schemas.microsoft.com/office/excel/2006/main">
          <x14:cfRule type="dataBar" id="{BA0CF356-84D8-4144-AAB7-283E19F40B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K172</xm:sqref>
        </x14:conditionalFormatting>
        <x14:conditionalFormatting xmlns:xm="http://schemas.microsoft.com/office/excel/2006/main">
          <x14:cfRule type="dataBar" id="{0F0440D3-8BAB-423E-A8BB-67E659699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K172</xm:sqref>
        </x14:conditionalFormatting>
        <x14:conditionalFormatting xmlns:xm="http://schemas.microsoft.com/office/excel/2006/main">
          <x14:cfRule type="dataBar" id="{9D20DC01-F0E3-4B80-9D00-7D0B24B8C8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K172</xm:sqref>
        </x14:conditionalFormatting>
        <x14:conditionalFormatting xmlns:xm="http://schemas.microsoft.com/office/excel/2006/main">
          <x14:cfRule type="dataBar" id="{361623A9-807F-4A08-949E-20344A2E9C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K172</xm:sqref>
        </x14:conditionalFormatting>
        <x14:conditionalFormatting xmlns:xm="http://schemas.microsoft.com/office/excel/2006/main">
          <x14:cfRule type="dataBar" id="{5C9B3ADB-15E7-4D5E-B1E9-222893C9F0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K95</xm:sqref>
        </x14:conditionalFormatting>
        <x14:conditionalFormatting xmlns:xm="http://schemas.microsoft.com/office/excel/2006/main">
          <x14:cfRule type="dataBar" id="{BA65D940-DBE4-4452-BF8D-9B9F9806A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K95</xm:sqref>
        </x14:conditionalFormatting>
        <x14:conditionalFormatting xmlns:xm="http://schemas.microsoft.com/office/excel/2006/main">
          <x14:cfRule type="dataBar" id="{46CE5ABB-1E01-4399-9EFD-0452026458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K95</xm:sqref>
        </x14:conditionalFormatting>
        <x14:conditionalFormatting xmlns:xm="http://schemas.microsoft.com/office/excel/2006/main">
          <x14:cfRule type="dataBar" id="{AF9C6A0B-AED2-4256-B0B3-DA1A125167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K95</xm:sqref>
        </x14:conditionalFormatting>
        <x14:conditionalFormatting xmlns:xm="http://schemas.microsoft.com/office/excel/2006/main">
          <x14:cfRule type="dataBar" id="{887E5351-57DA-49BF-8966-9ADECADAC9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K173</xm:sqref>
        </x14:conditionalFormatting>
        <x14:conditionalFormatting xmlns:xm="http://schemas.microsoft.com/office/excel/2006/main">
          <x14:cfRule type="dataBar" id="{E89D53E5-C268-42E9-9A48-E8B6BC6BE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K173</xm:sqref>
        </x14:conditionalFormatting>
        <x14:conditionalFormatting xmlns:xm="http://schemas.microsoft.com/office/excel/2006/main">
          <x14:cfRule type="dataBar" id="{9128611D-0012-40DE-B328-3A91210C06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K173</xm:sqref>
        </x14:conditionalFormatting>
        <x14:conditionalFormatting xmlns:xm="http://schemas.microsoft.com/office/excel/2006/main">
          <x14:cfRule type="dataBar" id="{BF118C4C-8F2C-41CD-B84D-88EA5BF2CA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K173</xm:sqref>
        </x14:conditionalFormatting>
        <x14:conditionalFormatting xmlns:xm="http://schemas.microsoft.com/office/excel/2006/main">
          <x14:cfRule type="dataBar" id="{E4302F84-A67D-4362-9EEC-AA58C2B343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K96</xm:sqref>
        </x14:conditionalFormatting>
        <x14:conditionalFormatting xmlns:xm="http://schemas.microsoft.com/office/excel/2006/main">
          <x14:cfRule type="dataBar" id="{6A023DB8-62F6-4111-867B-773E76297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K96</xm:sqref>
        </x14:conditionalFormatting>
        <x14:conditionalFormatting xmlns:xm="http://schemas.microsoft.com/office/excel/2006/main">
          <x14:cfRule type="dataBar" id="{EDB7077A-02F6-4190-86E4-6B9091E594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K96</xm:sqref>
        </x14:conditionalFormatting>
        <x14:conditionalFormatting xmlns:xm="http://schemas.microsoft.com/office/excel/2006/main">
          <x14:cfRule type="dataBar" id="{E06D961F-60D3-4F30-AC7D-752D9022DA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K54</xm:sqref>
        </x14:conditionalFormatting>
        <x14:conditionalFormatting xmlns:xm="http://schemas.microsoft.com/office/excel/2006/main">
          <x14:cfRule type="dataBar" id="{82C00C9E-16C4-430A-894C-A1AA6D525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K54</xm:sqref>
        </x14:conditionalFormatting>
        <x14:conditionalFormatting xmlns:xm="http://schemas.microsoft.com/office/excel/2006/main">
          <x14:cfRule type="dataBar" id="{8167AB94-CA8C-4EF8-A5F8-4DE0EBF71D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</xm:sqref>
        </x14:conditionalFormatting>
        <x14:conditionalFormatting xmlns:xm="http://schemas.microsoft.com/office/excel/2006/main">
          <x14:cfRule type="dataBar" id="{6AE15EA0-197B-4FEF-8F35-E7DE02D964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2025-12-22T06:25:11Z</dcterms:modified>
</cp:coreProperties>
</file>