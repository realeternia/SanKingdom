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Sheet1!$A$4:$AA$351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8" i="1" l="1"/>
  <c r="R138" i="1" s="1"/>
  <c r="J137" i="1"/>
  <c r="R137" i="1" s="1"/>
  <c r="J136" i="1"/>
  <c r="R136" i="1" s="1"/>
  <c r="J351" i="1"/>
  <c r="R351" i="1" s="1"/>
  <c r="J135" i="1"/>
  <c r="R135" i="1" s="1"/>
  <c r="J349" i="1"/>
  <c r="R349" i="1" s="1"/>
  <c r="J134" i="1"/>
  <c r="R134" i="1" s="1"/>
  <c r="J133" i="1"/>
  <c r="R133" i="1" s="1"/>
  <c r="J132" i="1"/>
  <c r="R132" i="1" s="1"/>
  <c r="J131" i="1"/>
  <c r="R131" i="1" s="1"/>
  <c r="J130" i="1"/>
  <c r="R130" i="1" s="1"/>
  <c r="J129" i="1"/>
  <c r="R129" i="1" s="1"/>
  <c r="J128" i="1"/>
  <c r="R128" i="1" s="1"/>
  <c r="J127" i="1"/>
  <c r="R127" i="1" s="1"/>
  <c r="J126" i="1"/>
  <c r="R126" i="1" s="1"/>
  <c r="J125" i="1"/>
  <c r="R125" i="1" s="1"/>
  <c r="J124" i="1"/>
  <c r="R124" i="1" s="1"/>
  <c r="J123" i="1"/>
  <c r="R123" i="1" s="1"/>
  <c r="J122" i="1"/>
  <c r="R122" i="1" s="1"/>
  <c r="J121" i="1"/>
  <c r="R121" i="1" s="1"/>
  <c r="J120" i="1"/>
  <c r="R120" i="1" s="1"/>
  <c r="J86" i="1"/>
  <c r="R86" i="1" s="1"/>
  <c r="J85" i="1"/>
  <c r="R85" i="1" s="1"/>
  <c r="J84" i="1"/>
  <c r="R84" i="1" s="1"/>
  <c r="J83" i="1"/>
  <c r="R83" i="1" s="1"/>
  <c r="J82" i="1"/>
  <c r="R82" i="1" s="1"/>
  <c r="J81" i="1"/>
  <c r="R81" i="1" s="1"/>
  <c r="J80" i="1"/>
  <c r="R80" i="1" s="1"/>
  <c r="J79" i="1"/>
  <c r="R79" i="1" s="1"/>
  <c r="J78" i="1"/>
  <c r="R78" i="1" s="1"/>
  <c r="J77" i="1"/>
  <c r="R77" i="1" s="1"/>
  <c r="J76" i="1"/>
  <c r="R76" i="1" s="1"/>
  <c r="J75" i="1"/>
  <c r="R75" i="1" s="1"/>
  <c r="J74" i="1"/>
  <c r="R74" i="1" s="1"/>
  <c r="J73" i="1"/>
  <c r="R73" i="1" s="1"/>
  <c r="J72" i="1"/>
  <c r="R72" i="1" s="1"/>
  <c r="J71" i="1"/>
  <c r="R71" i="1" s="1"/>
  <c r="J70" i="1"/>
  <c r="R70" i="1" s="1"/>
  <c r="J69" i="1"/>
  <c r="R69" i="1" s="1"/>
  <c r="J68" i="1"/>
  <c r="R68" i="1" s="1"/>
  <c r="J67" i="1"/>
  <c r="R67" i="1" s="1"/>
  <c r="J66" i="1"/>
  <c r="R66" i="1" s="1"/>
  <c r="J65" i="1"/>
  <c r="R65" i="1" s="1"/>
  <c r="J64" i="1"/>
  <c r="R64" i="1" s="1"/>
  <c r="J63" i="1"/>
  <c r="R63" i="1" s="1"/>
  <c r="J62" i="1"/>
  <c r="R62" i="1" s="1"/>
  <c r="J61" i="1"/>
  <c r="R61" i="1" s="1"/>
  <c r="J60" i="1"/>
  <c r="R60" i="1" s="1"/>
  <c r="J59" i="1"/>
  <c r="R59" i="1" s="1"/>
  <c r="J58" i="1"/>
  <c r="R58" i="1" s="1"/>
  <c r="J57" i="1"/>
  <c r="R57" i="1" s="1"/>
  <c r="J56" i="1"/>
  <c r="R56" i="1" s="1"/>
  <c r="J55" i="1"/>
  <c r="R55" i="1" s="1"/>
  <c r="J54" i="1"/>
  <c r="R54" i="1" s="1"/>
  <c r="J53" i="1"/>
  <c r="R53" i="1" s="1"/>
  <c r="J16" i="1"/>
  <c r="R16" i="1" s="1"/>
  <c r="J17" i="1"/>
  <c r="R17" i="1" s="1"/>
  <c r="J15" i="1"/>
  <c r="R15" i="1" s="1"/>
  <c r="J14" i="1"/>
  <c r="R14" i="1" s="1"/>
  <c r="J266" i="1"/>
  <c r="R266" i="1" s="1"/>
  <c r="J265" i="1"/>
  <c r="R265" i="1" s="1"/>
  <c r="J264" i="1"/>
  <c r="R264" i="1" s="1"/>
  <c r="J263" i="1"/>
  <c r="R263" i="1" s="1"/>
  <c r="J262" i="1"/>
  <c r="R262" i="1" s="1"/>
  <c r="J261" i="1"/>
  <c r="R261" i="1" s="1"/>
  <c r="J260" i="1"/>
  <c r="R260" i="1" s="1"/>
  <c r="J259" i="1"/>
  <c r="R259" i="1" s="1"/>
  <c r="J258" i="1"/>
  <c r="R258" i="1" s="1"/>
  <c r="J257" i="1"/>
  <c r="R257" i="1" s="1"/>
  <c r="J256" i="1"/>
  <c r="R256" i="1" s="1"/>
  <c r="J255" i="1"/>
  <c r="R255" i="1" s="1"/>
  <c r="J254" i="1"/>
  <c r="R254" i="1" s="1"/>
  <c r="J253" i="1"/>
  <c r="R253" i="1" s="1"/>
  <c r="J252" i="1"/>
  <c r="R252" i="1" s="1"/>
  <c r="J251" i="1"/>
  <c r="R251" i="1" s="1"/>
  <c r="J204" i="1"/>
  <c r="R204" i="1" s="1"/>
  <c r="J203" i="1"/>
  <c r="R203" i="1" s="1"/>
  <c r="J202" i="1"/>
  <c r="R202" i="1" s="1"/>
  <c r="J201" i="1"/>
  <c r="R201" i="1" s="1"/>
  <c r="J200" i="1"/>
  <c r="R200" i="1" s="1"/>
  <c r="J199" i="1"/>
  <c r="R199" i="1" s="1"/>
  <c r="J198" i="1"/>
  <c r="R198" i="1" s="1"/>
  <c r="J197" i="1"/>
  <c r="R197" i="1" s="1"/>
  <c r="J196" i="1"/>
  <c r="R196" i="1" s="1"/>
  <c r="J195" i="1"/>
  <c r="R195" i="1" s="1"/>
  <c r="J194" i="1"/>
  <c r="R194" i="1" s="1"/>
  <c r="J193" i="1"/>
  <c r="R193" i="1" s="1"/>
  <c r="J192" i="1"/>
  <c r="R192" i="1" s="1"/>
  <c r="J191" i="1"/>
  <c r="R191" i="1" s="1"/>
  <c r="J190" i="1"/>
  <c r="R190" i="1" s="1"/>
  <c r="J189" i="1"/>
  <c r="R189" i="1" s="1"/>
  <c r="J188" i="1"/>
  <c r="R188" i="1" s="1"/>
  <c r="J187" i="1"/>
  <c r="R187" i="1" s="1"/>
  <c r="J186" i="1"/>
  <c r="R186" i="1" s="1"/>
  <c r="J173" i="1"/>
  <c r="R173" i="1" s="1"/>
  <c r="J172" i="1"/>
  <c r="R172" i="1" s="1"/>
  <c r="J171" i="1"/>
  <c r="R171" i="1" s="1"/>
  <c r="J170" i="1"/>
  <c r="R170" i="1" s="1"/>
  <c r="J169" i="1"/>
  <c r="R169" i="1" s="1"/>
  <c r="J168" i="1"/>
  <c r="R168" i="1" s="1"/>
  <c r="J167" i="1"/>
  <c r="R167" i="1" s="1"/>
  <c r="J166" i="1"/>
  <c r="R166" i="1" s="1"/>
  <c r="J165" i="1"/>
  <c r="R165" i="1" s="1"/>
  <c r="J164" i="1"/>
  <c r="R164" i="1" s="1"/>
  <c r="J163" i="1"/>
  <c r="R163" i="1" s="1"/>
  <c r="J162" i="1"/>
  <c r="R162" i="1" s="1"/>
  <c r="J161" i="1"/>
  <c r="R161" i="1" s="1"/>
  <c r="J160" i="1"/>
  <c r="R160" i="1" s="1"/>
  <c r="J159" i="1"/>
  <c r="R159" i="1" s="1"/>
  <c r="J158" i="1"/>
  <c r="R158" i="1" s="1"/>
  <c r="J157" i="1"/>
  <c r="R157" i="1" s="1"/>
  <c r="J156" i="1"/>
  <c r="R156" i="1" s="1"/>
  <c r="J155" i="1"/>
  <c r="R155" i="1" s="1"/>
  <c r="J154" i="1"/>
  <c r="R154" i="1" s="1"/>
  <c r="J153" i="1"/>
  <c r="R153" i="1" s="1"/>
  <c r="J152" i="1"/>
  <c r="R152" i="1" s="1"/>
  <c r="J151" i="1"/>
  <c r="R151" i="1" s="1"/>
  <c r="J150" i="1"/>
  <c r="R150" i="1" s="1"/>
  <c r="J149" i="1"/>
  <c r="R149" i="1" s="1"/>
  <c r="J238" i="1"/>
  <c r="R238" i="1" s="1"/>
  <c r="J237" i="1"/>
  <c r="R237" i="1" s="1"/>
  <c r="J236" i="1"/>
  <c r="R236" i="1" s="1"/>
  <c r="J235" i="1"/>
  <c r="R235" i="1" s="1"/>
  <c r="J234" i="1"/>
  <c r="R234" i="1" s="1"/>
  <c r="J233" i="1"/>
  <c r="R233" i="1" s="1"/>
  <c r="J232" i="1"/>
  <c r="R232" i="1" s="1"/>
  <c r="J231" i="1"/>
  <c r="R231" i="1" s="1"/>
  <c r="J230" i="1"/>
  <c r="R230" i="1" s="1"/>
  <c r="J229" i="1"/>
  <c r="R229" i="1" s="1"/>
  <c r="J228" i="1"/>
  <c r="R228" i="1" s="1"/>
  <c r="J227" i="1"/>
  <c r="R227" i="1" s="1"/>
  <c r="J226" i="1"/>
  <c r="R226" i="1" s="1"/>
  <c r="J225" i="1"/>
  <c r="R225" i="1" s="1"/>
  <c r="J224" i="1"/>
  <c r="R224" i="1" s="1"/>
  <c r="J223" i="1"/>
  <c r="R223" i="1" s="1"/>
  <c r="J218" i="1"/>
  <c r="R218" i="1" s="1"/>
  <c r="J217" i="1"/>
  <c r="R217" i="1" s="1"/>
  <c r="J216" i="1"/>
  <c r="R216" i="1" s="1"/>
  <c r="J215" i="1"/>
  <c r="R215" i="1" s="1"/>
  <c r="J214" i="1"/>
  <c r="R214" i="1" s="1"/>
  <c r="J213" i="1"/>
  <c r="R213" i="1" s="1"/>
  <c r="J212" i="1"/>
  <c r="R212" i="1" s="1"/>
  <c r="J211" i="1"/>
  <c r="R211" i="1" s="1"/>
  <c r="J210" i="1"/>
  <c r="R210" i="1" s="1"/>
  <c r="J209" i="1"/>
  <c r="R209" i="1" s="1"/>
  <c r="J292" i="1"/>
  <c r="J273" i="1"/>
  <c r="R273" i="1" s="1"/>
  <c r="J272" i="1"/>
  <c r="R272" i="1" s="1"/>
  <c r="J271" i="1"/>
  <c r="R271" i="1" s="1"/>
  <c r="J270" i="1"/>
  <c r="R270" i="1" s="1"/>
  <c r="J269" i="1"/>
  <c r="R269" i="1" s="1"/>
  <c r="J268" i="1"/>
  <c r="R268" i="1" s="1"/>
  <c r="J291" i="1"/>
  <c r="R291" i="1" s="1"/>
  <c r="J290" i="1"/>
  <c r="R290" i="1" s="1"/>
  <c r="J289" i="1"/>
  <c r="R289" i="1" s="1"/>
  <c r="J288" i="1"/>
  <c r="R288" i="1" s="1"/>
  <c r="J287" i="1"/>
  <c r="R287" i="1" s="1"/>
  <c r="J286" i="1"/>
  <c r="R286" i="1" s="1"/>
  <c r="J285" i="1"/>
  <c r="R285" i="1" s="1"/>
  <c r="J284" i="1"/>
  <c r="R284" i="1" s="1"/>
  <c r="J283" i="1"/>
  <c r="R283" i="1" s="1"/>
  <c r="J282" i="1"/>
  <c r="R282" i="1" s="1"/>
  <c r="J281" i="1"/>
  <c r="R281" i="1" s="1"/>
  <c r="J280" i="1"/>
  <c r="R280" i="1" s="1"/>
  <c r="J279" i="1"/>
  <c r="R279" i="1" s="1"/>
  <c r="J278" i="1"/>
  <c r="R278" i="1" s="1"/>
  <c r="J277" i="1"/>
  <c r="R277" i="1" s="1"/>
  <c r="J276" i="1"/>
  <c r="R276" i="1" s="1"/>
  <c r="J275" i="1"/>
  <c r="R275" i="1" s="1"/>
  <c r="AB311" i="1" l="1"/>
  <c r="J304" i="1"/>
  <c r="R304" i="1" s="1"/>
  <c r="AB310" i="1"/>
  <c r="J303" i="1"/>
  <c r="R303" i="1" s="1"/>
  <c r="AB307" i="1"/>
  <c r="AB306" i="1"/>
  <c r="AB305" i="1"/>
  <c r="AB304" i="1"/>
  <c r="AB303" i="1"/>
  <c r="AB302" i="1"/>
  <c r="AB301" i="1"/>
  <c r="AB300" i="1"/>
  <c r="J300" i="1"/>
  <c r="R300" i="1" s="1"/>
  <c r="J299" i="1"/>
  <c r="R299" i="1" s="1"/>
  <c r="J298" i="1"/>
  <c r="R298" i="1" s="1"/>
  <c r="J297" i="1"/>
  <c r="R297" i="1" s="1"/>
  <c r="J296" i="1"/>
  <c r="R296" i="1" s="1"/>
  <c r="J295" i="1"/>
  <c r="R295" i="1" s="1"/>
  <c r="J294" i="1"/>
  <c r="R294" i="1" s="1"/>
  <c r="J293" i="1"/>
  <c r="R293" i="1" s="1"/>
  <c r="J302" i="1" l="1"/>
  <c r="R302" i="1" s="1"/>
  <c r="AB13" i="1"/>
  <c r="AB12" i="1"/>
  <c r="AB11" i="1"/>
  <c r="J267" i="1"/>
  <c r="J239" i="1"/>
  <c r="J220" i="1"/>
  <c r="AB19" i="1" l="1"/>
  <c r="AB20" i="1"/>
  <c r="AB6" i="1"/>
  <c r="AB7" i="1"/>
  <c r="AB8" i="1"/>
  <c r="AB9" i="1"/>
  <c r="AB10" i="1"/>
  <c r="AB14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206" i="1"/>
  <c r="AB207" i="1"/>
  <c r="AB208" i="1"/>
  <c r="AB209" i="1"/>
  <c r="AB220" i="1"/>
  <c r="AB221" i="1"/>
  <c r="AB222" i="1"/>
  <c r="AB223" i="1"/>
  <c r="AB224" i="1"/>
  <c r="AB225" i="1"/>
  <c r="AB242" i="1"/>
  <c r="AB243" i="1"/>
  <c r="AB244" i="1"/>
  <c r="AB245" i="1"/>
  <c r="AB246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81" i="1"/>
  <c r="AB299" i="1"/>
  <c r="AB308" i="1"/>
  <c r="AB309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5" i="1"/>
  <c r="J18" i="1" l="1"/>
  <c r="J87" i="1"/>
  <c r="J174" i="1"/>
  <c r="J305" i="1"/>
  <c r="J139" i="1"/>
  <c r="J301" i="1"/>
  <c r="J6" i="1"/>
  <c r="J206" i="1"/>
  <c r="J316" i="1"/>
  <c r="J7" i="1"/>
  <c r="J8" i="1"/>
  <c r="J221" i="1"/>
  <c r="J222" i="1"/>
  <c r="J9" i="1"/>
  <c r="J317" i="1"/>
  <c r="J207" i="1"/>
  <c r="J318" i="1"/>
  <c r="J13" i="1"/>
  <c r="J240" i="1"/>
  <c r="J10" i="1"/>
  <c r="J244" i="1"/>
  <c r="J319" i="1"/>
  <c r="J241" i="1"/>
  <c r="J320" i="1"/>
  <c r="J242" i="1"/>
  <c r="J321" i="1"/>
  <c r="J11" i="1"/>
  <c r="J341" i="1"/>
  <c r="J12" i="1"/>
  <c r="J342" i="1"/>
  <c r="J339" i="1"/>
  <c r="J243" i="1"/>
  <c r="J345" i="1"/>
  <c r="J344" i="1"/>
  <c r="J343" i="1"/>
  <c r="J340" i="1"/>
  <c r="J322" i="1"/>
  <c r="J246" i="1"/>
  <c r="J323" i="1"/>
  <c r="J245" i="1"/>
  <c r="J247" i="1"/>
  <c r="J248" i="1"/>
  <c r="J347" i="1"/>
  <c r="J249" i="1"/>
  <c r="J324" i="1"/>
  <c r="J19" i="1"/>
  <c r="J20" i="1"/>
  <c r="J21" i="1"/>
  <c r="J175" i="1"/>
  <c r="J22" i="1"/>
  <c r="J23" i="1"/>
  <c r="J24" i="1"/>
  <c r="J140" i="1"/>
  <c r="J25" i="1"/>
  <c r="J26" i="1"/>
  <c r="J27" i="1"/>
  <c r="J28" i="1"/>
  <c r="J29" i="1"/>
  <c r="J208" i="1"/>
  <c r="J30" i="1"/>
  <c r="J31" i="1"/>
  <c r="J32" i="1"/>
  <c r="J325" i="1"/>
  <c r="J326" i="1"/>
  <c r="J33" i="1"/>
  <c r="J327" i="1"/>
  <c r="J34" i="1"/>
  <c r="J35" i="1"/>
  <c r="J36" i="1"/>
  <c r="J328" i="1"/>
  <c r="J49" i="1"/>
  <c r="J37" i="1"/>
  <c r="J38" i="1"/>
  <c r="J39" i="1"/>
  <c r="J40" i="1"/>
  <c r="J41" i="1"/>
  <c r="J42" i="1"/>
  <c r="J43" i="1"/>
  <c r="J329" i="1"/>
  <c r="J50" i="1"/>
  <c r="J51" i="1"/>
  <c r="J52" i="1"/>
  <c r="J44" i="1"/>
  <c r="J45" i="1"/>
  <c r="J46" i="1"/>
  <c r="J47" i="1"/>
  <c r="J48" i="1"/>
  <c r="J330" i="1"/>
  <c r="J315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346" i="1"/>
  <c r="J331" i="1"/>
  <c r="J115" i="1"/>
  <c r="J350" i="1"/>
  <c r="J116" i="1"/>
  <c r="J117" i="1"/>
  <c r="J118" i="1"/>
  <c r="J348" i="1"/>
  <c r="J119" i="1"/>
  <c r="J176" i="1"/>
  <c r="J177" i="1"/>
  <c r="J178" i="1"/>
  <c r="J179" i="1"/>
  <c r="J180" i="1"/>
  <c r="J181" i="1"/>
  <c r="J182" i="1"/>
  <c r="J183" i="1"/>
  <c r="J184" i="1"/>
  <c r="J185" i="1"/>
  <c r="J306" i="1"/>
  <c r="J307" i="1"/>
  <c r="J308" i="1"/>
  <c r="J309" i="1"/>
  <c r="J310" i="1"/>
  <c r="J311" i="1"/>
  <c r="J312" i="1"/>
  <c r="J313" i="1"/>
  <c r="J314" i="1"/>
  <c r="J141" i="1"/>
  <c r="J142" i="1"/>
  <c r="J143" i="1"/>
  <c r="J144" i="1"/>
  <c r="J145" i="1"/>
  <c r="J146" i="1"/>
  <c r="J147" i="1"/>
  <c r="J148" i="1"/>
  <c r="J250" i="1"/>
  <c r="J332" i="1"/>
  <c r="J274" i="1"/>
  <c r="J205" i="1"/>
  <c r="J333" i="1"/>
  <c r="J334" i="1"/>
  <c r="J335" i="1"/>
  <c r="J336" i="1"/>
  <c r="J219" i="1"/>
  <c r="J337" i="1"/>
  <c r="J338" i="1"/>
  <c r="J5" i="1"/>
  <c r="R322" i="1" l="1"/>
  <c r="R340" i="1"/>
  <c r="R343" i="1"/>
  <c r="R344" i="1"/>
  <c r="R345" i="1"/>
  <c r="R243" i="1"/>
  <c r="R339" i="1"/>
  <c r="R342" i="1"/>
  <c r="R12" i="1"/>
  <c r="R341" i="1"/>
  <c r="R11" i="1"/>
  <c r="R321" i="1"/>
  <c r="R242" i="1"/>
  <c r="R320" i="1"/>
  <c r="R241" i="1"/>
  <c r="R319" i="1"/>
  <c r="R244" i="1"/>
  <c r="R10" i="1"/>
  <c r="R240" i="1"/>
  <c r="R13" i="1"/>
  <c r="R318" i="1"/>
  <c r="R207" i="1"/>
  <c r="R317" i="1"/>
  <c r="R9" i="1"/>
  <c r="R222" i="1"/>
  <c r="R221" i="1"/>
  <c r="R324" i="1" l="1"/>
  <c r="R48" i="1"/>
  <c r="R338" i="1" l="1"/>
  <c r="R47" i="1" l="1"/>
  <c r="R337" i="1"/>
  <c r="R314" i="1" l="1"/>
  <c r="R219" i="1"/>
  <c r="R46" i="1"/>
  <c r="R249" i="1"/>
  <c r="R45" i="1"/>
  <c r="R185" i="1" l="1"/>
  <c r="R148" i="1" l="1"/>
  <c r="R147" i="1"/>
  <c r="R146" i="1"/>
  <c r="R145" i="1"/>
  <c r="R144" i="1"/>
  <c r="R143" i="1"/>
  <c r="R336" i="1"/>
  <c r="R335" i="1"/>
  <c r="R334" i="1"/>
  <c r="R184" i="1"/>
  <c r="R183" i="1"/>
  <c r="R44" i="1"/>
  <c r="R52" i="1"/>
  <c r="R51" i="1"/>
  <c r="R50" i="1"/>
  <c r="R329" i="1"/>
  <c r="R313" i="1"/>
  <c r="R312" i="1"/>
  <c r="R205" i="1" l="1"/>
  <c r="R274" i="1"/>
  <c r="R182" i="1"/>
  <c r="R110" i="1" l="1"/>
  <c r="R119" i="1"/>
  <c r="R333" i="1"/>
  <c r="R181" i="1"/>
  <c r="R348" i="1"/>
  <c r="R43" i="1"/>
  <c r="R118" i="1"/>
  <c r="R117" i="1"/>
  <c r="R180" i="1"/>
  <c r="R116" i="1"/>
  <c r="R347" i="1"/>
  <c r="R248" i="1"/>
  <c r="R247" i="1"/>
  <c r="R311" i="1"/>
  <c r="R350" i="1"/>
  <c r="R115" i="1"/>
  <c r="R346" i="1"/>
  <c r="R114" i="1"/>
  <c r="R309" i="1"/>
  <c r="R331" i="1"/>
  <c r="R176" i="1" l="1"/>
  <c r="R141" i="1"/>
  <c r="R142" i="1"/>
  <c r="R177" i="1"/>
  <c r="R99" i="1"/>
  <c r="R315" i="1"/>
  <c r="R292" i="1"/>
  <c r="R330" i="1"/>
  <c r="R89" i="1"/>
  <c r="R88" i="1"/>
  <c r="R90" i="1"/>
  <c r="R91" i="1"/>
  <c r="R92" i="1"/>
  <c r="R93" i="1"/>
  <c r="R179" i="1"/>
  <c r="R246" i="1"/>
  <c r="R94" i="1"/>
  <c r="R323" i="1"/>
  <c r="R95" i="1"/>
  <c r="R96" i="1"/>
  <c r="R97" i="1"/>
  <c r="R98" i="1"/>
  <c r="R100" i="1"/>
  <c r="R245" i="1"/>
  <c r="R101" i="1"/>
  <c r="R102" i="1"/>
  <c r="R307" i="1"/>
  <c r="R308" i="1"/>
  <c r="R103" i="1"/>
  <c r="R104" i="1"/>
  <c r="R105" i="1"/>
  <c r="R106" i="1"/>
  <c r="R42" i="1"/>
  <c r="R107" i="1"/>
  <c r="R332" i="1"/>
  <c r="R108" i="1"/>
  <c r="R109" i="1"/>
  <c r="R111" i="1"/>
  <c r="R112" i="1"/>
  <c r="R113" i="1"/>
  <c r="R326" i="1" l="1"/>
  <c r="R33" i="1"/>
  <c r="R327" i="1"/>
  <c r="R34" i="1"/>
  <c r="R35" i="1"/>
  <c r="R250" i="1"/>
  <c r="R310" i="1"/>
  <c r="R36" i="1"/>
  <c r="R328" i="1"/>
  <c r="R49" i="1"/>
  <c r="R37" i="1"/>
  <c r="R38" i="1"/>
  <c r="R39" i="1"/>
  <c r="R21" i="1"/>
  <c r="R26" i="1"/>
  <c r="R40" i="1"/>
  <c r="R41" i="1"/>
  <c r="R325" i="1"/>
  <c r="R316" i="1"/>
  <c r="R8" i="1"/>
  <c r="R178" i="1"/>
  <c r="R19" i="1"/>
  <c r="R306" i="1" l="1"/>
  <c r="R20" i="1" l="1"/>
  <c r="R301" i="1"/>
  <c r="R6" i="1"/>
  <c r="R175" i="1"/>
  <c r="R27" i="1"/>
  <c r="R23" i="1"/>
  <c r="R140" i="1"/>
  <c r="R25" i="1"/>
  <c r="R28" i="1"/>
  <c r="R208" i="1"/>
  <c r="R206" i="1"/>
  <c r="R7" i="1"/>
  <c r="R29" i="1"/>
  <c r="R22" i="1"/>
  <c r="R24" i="1"/>
  <c r="R30" i="1"/>
  <c r="R32" i="1"/>
  <c r="R31" i="1"/>
</calcChain>
</file>

<file path=xl/sharedStrings.xml><?xml version="1.0" encoding="utf-8"?>
<sst xmlns="http://schemas.openxmlformats.org/spreadsheetml/2006/main" count="2309" uniqueCount="990">
  <si>
    <t>序列</t>
    <phoneticPr fontId="3" type="noConversion"/>
  </si>
  <si>
    <t>Id</t>
  </si>
  <si>
    <t>string</t>
    <phoneticPr fontId="3" type="noConversion"/>
  </si>
  <si>
    <t>cs</t>
  </si>
  <si>
    <t>背景图</t>
    <phoneticPr fontId="3" type="noConversion"/>
  </si>
  <si>
    <t>Icon</t>
    <phoneticPr fontId="3" type="noConversion"/>
  </si>
  <si>
    <t>cs</t>
    <phoneticPr fontId="3" type="noConversion"/>
  </si>
  <si>
    <t>int</t>
  </si>
  <si>
    <t>Name</t>
    <phoneticPr fontId="2" type="noConversion"/>
  </si>
  <si>
    <t>string</t>
    <phoneticPr fontId="2" type="noConversion"/>
  </si>
  <si>
    <t>cs</t>
    <phoneticPr fontId="2" type="noConversion"/>
  </si>
  <si>
    <t>cs</t>
    <phoneticPr fontId="3" type="noConversion"/>
  </si>
  <si>
    <t>int</t>
    <phoneticPr fontId="2" type="noConversion"/>
  </si>
  <si>
    <t>生命</t>
    <phoneticPr fontId="3" type="noConversion"/>
  </si>
  <si>
    <t>Hp</t>
    <phoneticPr fontId="2" type="noConversion"/>
  </si>
  <si>
    <t>阵营</t>
    <phoneticPr fontId="3" type="noConversion"/>
  </si>
  <si>
    <t>移动速度</t>
    <phoneticPr fontId="3" type="noConversion"/>
  </si>
  <si>
    <t>攻击距离</t>
    <phoneticPr fontId="3" type="noConversion"/>
  </si>
  <si>
    <t>名字</t>
    <phoneticPr fontId="2" type="noConversion"/>
  </si>
  <si>
    <t>赵云</t>
  </si>
  <si>
    <t>张飞</t>
  </si>
  <si>
    <t>周仓</t>
  </si>
  <si>
    <t>张辽</t>
  </si>
  <si>
    <t>诸葛亮</t>
  </si>
  <si>
    <t>于禁</t>
  </si>
  <si>
    <t>夏侯渊</t>
  </si>
  <si>
    <t>严颜</t>
  </si>
  <si>
    <t>曹仁</t>
  </si>
  <si>
    <t>刘备</t>
  </si>
  <si>
    <t>马超</t>
  </si>
  <si>
    <t>关羽</t>
  </si>
  <si>
    <t>曹操</t>
  </si>
  <si>
    <t>曹洪</t>
  </si>
  <si>
    <t>典韦</t>
  </si>
  <si>
    <t>马岱</t>
  </si>
  <si>
    <t>乐进</t>
  </si>
  <si>
    <t>贾诩</t>
  </si>
  <si>
    <t>郭嘉</t>
  </si>
  <si>
    <t>曹休</t>
  </si>
  <si>
    <t>统帅</t>
    <phoneticPr fontId="2" type="noConversion"/>
  </si>
  <si>
    <t>LeadShip</t>
    <phoneticPr fontId="2" type="noConversion"/>
  </si>
  <si>
    <t>int</t>
    <phoneticPr fontId="2" type="noConversion"/>
  </si>
  <si>
    <t>cs</t>
    <phoneticPr fontId="2" type="noConversion"/>
  </si>
  <si>
    <t>智力</t>
    <phoneticPr fontId="2" type="noConversion"/>
  </si>
  <si>
    <t>int</t>
    <phoneticPr fontId="2" type="noConversion"/>
  </si>
  <si>
    <t>武力</t>
    <phoneticPr fontId="2" type="noConversion"/>
  </si>
  <si>
    <t>Str</t>
    <phoneticPr fontId="2" type="noConversion"/>
  </si>
  <si>
    <t>总属性</t>
    <phoneticPr fontId="2" type="noConversion"/>
  </si>
  <si>
    <t>Total</t>
    <phoneticPr fontId="2" type="noConversion"/>
  </si>
  <si>
    <t>int</t>
    <phoneticPr fontId="2" type="noConversion"/>
  </si>
  <si>
    <t>cs</t>
    <phoneticPr fontId="2" type="noConversion"/>
  </si>
  <si>
    <t>徐晃</t>
    <phoneticPr fontId="2" type="noConversion"/>
  </si>
  <si>
    <t>关兴</t>
  </si>
  <si>
    <t>关平</t>
  </si>
  <si>
    <t>司马懿</t>
  </si>
  <si>
    <t>邓艾</t>
  </si>
  <si>
    <t>姜维</t>
  </si>
  <si>
    <t>孟获</t>
  </si>
  <si>
    <t>庞统</t>
  </si>
  <si>
    <t>李严</t>
  </si>
  <si>
    <t>张苞</t>
  </si>
  <si>
    <t>int</t>
    <phoneticPr fontId="2" type="noConversion"/>
  </si>
  <si>
    <t>cs</t>
    <phoneticPr fontId="2" type="noConversion"/>
  </si>
  <si>
    <t>职业</t>
    <phoneticPr fontId="2" type="noConversion"/>
  </si>
  <si>
    <t>Job</t>
    <phoneticPr fontId="2" type="noConversion"/>
  </si>
  <si>
    <t>string</t>
    <phoneticPr fontId="2" type="noConversion"/>
  </si>
  <si>
    <t>cs</t>
    <phoneticPr fontId="2" type="noConversion"/>
  </si>
  <si>
    <t>hit</t>
    <phoneticPr fontId="2" type="noConversion"/>
  </si>
  <si>
    <t>HitEffect</t>
    <phoneticPr fontId="2" type="noConversion"/>
  </si>
  <si>
    <t>cs</t>
    <phoneticPr fontId="2" type="noConversion"/>
  </si>
  <si>
    <t>StormExplosion</t>
  </si>
  <si>
    <t>SwordHitYellowCritical</t>
  </si>
  <si>
    <t>SwordHitYellowCritical</t>
    <phoneticPr fontId="2" type="noConversion"/>
  </si>
  <si>
    <t>张松</t>
  </si>
  <si>
    <t>关索</t>
  </si>
  <si>
    <t>简雍</t>
  </si>
  <si>
    <t>夏侯霸</t>
  </si>
  <si>
    <t>郝昭</t>
  </si>
  <si>
    <t>王双</t>
  </si>
  <si>
    <t>程昱</t>
  </si>
  <si>
    <t>杨修</t>
  </si>
  <si>
    <t>钟会</t>
  </si>
  <si>
    <t>曹真</t>
  </si>
  <si>
    <t>陈群</t>
  </si>
  <si>
    <t>李典</t>
  </si>
  <si>
    <t>孙乾</t>
  </si>
  <si>
    <t>荀彧</t>
  </si>
  <si>
    <t>荀攸</t>
  </si>
  <si>
    <t>曹植</t>
  </si>
  <si>
    <t>刘晔</t>
  </si>
  <si>
    <t>马谡</t>
  </si>
  <si>
    <t>董允</t>
  </si>
  <si>
    <t>王平</t>
  </si>
  <si>
    <t>邓芝</t>
  </si>
  <si>
    <t>出场概率</t>
    <phoneticPr fontId="2" type="noConversion"/>
  </si>
  <si>
    <t>吕布</t>
  </si>
  <si>
    <t>颜良</t>
  </si>
  <si>
    <t>文丑</t>
  </si>
  <si>
    <t>孙尚香</t>
  </si>
  <si>
    <t>黄月英</t>
  </si>
  <si>
    <t>孙策</t>
  </si>
  <si>
    <t>孙坚</t>
  </si>
  <si>
    <t>孙权</t>
  </si>
  <si>
    <t>太史慈</t>
  </si>
  <si>
    <t>黄盖</t>
  </si>
  <si>
    <t>周泰</t>
  </si>
  <si>
    <t>鲁肃</t>
  </si>
  <si>
    <t>周瑜</t>
  </si>
  <si>
    <t>貂蝉</t>
  </si>
  <si>
    <t>蒋钦</t>
  </si>
  <si>
    <t>刘禅</t>
  </si>
  <si>
    <t>陆逊</t>
  </si>
  <si>
    <t>祝融</t>
  </si>
  <si>
    <t>大乔</t>
  </si>
  <si>
    <t>小乔</t>
  </si>
  <si>
    <t>司马师</t>
  </si>
  <si>
    <t>司马昭</t>
  </si>
  <si>
    <t>董袭</t>
  </si>
  <si>
    <t>华佗</t>
  </si>
  <si>
    <t>徐盛</t>
  </si>
  <si>
    <t>程普</t>
  </si>
  <si>
    <t>步骘</t>
    <phoneticPr fontId="2" type="noConversion"/>
  </si>
  <si>
    <t>潘璋</t>
    <phoneticPr fontId="2" type="noConversion"/>
  </si>
  <si>
    <t>公孙瓒</t>
    <phoneticPr fontId="2" type="noConversion"/>
  </si>
  <si>
    <t>顾雍</t>
    <phoneticPr fontId="2" type="noConversion"/>
  </si>
  <si>
    <t>阚泽</t>
    <phoneticPr fontId="2" type="noConversion"/>
  </si>
  <si>
    <t>诸葛瑾</t>
    <phoneticPr fontId="2" type="noConversion"/>
  </si>
  <si>
    <t>朱灵</t>
    <phoneticPr fontId="2" type="noConversion"/>
  </si>
  <si>
    <t>RateWeight</t>
    <phoneticPr fontId="2" type="noConversion"/>
  </si>
  <si>
    <t>出场概率，绝对</t>
    <phoneticPr fontId="2" type="noConversion"/>
  </si>
  <si>
    <t>Inte</t>
    <phoneticPr fontId="2" type="noConversion"/>
  </si>
  <si>
    <t>技能</t>
    <phoneticPr fontId="2" type="noConversion"/>
  </si>
  <si>
    <t>韩当</t>
    <phoneticPr fontId="2" type="noConversion"/>
  </si>
  <si>
    <t>陆抗</t>
    <phoneticPr fontId="2" type="noConversion"/>
  </si>
  <si>
    <t>诸葛恪</t>
    <phoneticPr fontId="2" type="noConversion"/>
  </si>
  <si>
    <t>苏飞</t>
    <phoneticPr fontId="2" type="noConversion"/>
  </si>
  <si>
    <t>全琮</t>
    <phoneticPr fontId="2" type="noConversion"/>
  </si>
  <si>
    <t>陈泰</t>
    <phoneticPr fontId="2" type="noConversion"/>
  </si>
  <si>
    <t>黄权</t>
    <phoneticPr fontId="2" type="noConversion"/>
  </si>
  <si>
    <t>孟达</t>
    <phoneticPr fontId="2" type="noConversion"/>
  </si>
  <si>
    <t>刘封</t>
    <phoneticPr fontId="2" type="noConversion"/>
  </si>
  <si>
    <t>陈武</t>
    <phoneticPr fontId="2" type="noConversion"/>
  </si>
  <si>
    <t>臧霸</t>
    <phoneticPr fontId="2" type="noConversion"/>
  </si>
  <si>
    <t>朱然</t>
    <phoneticPr fontId="2" type="noConversion"/>
  </si>
  <si>
    <t>董卓</t>
    <phoneticPr fontId="2" type="noConversion"/>
  </si>
  <si>
    <t>曹彰</t>
    <phoneticPr fontId="2" type="noConversion"/>
  </si>
  <si>
    <t>孙桓</t>
    <phoneticPr fontId="2" type="noConversion"/>
  </si>
  <si>
    <t>高顺</t>
    <phoneticPr fontId="2" type="noConversion"/>
  </si>
  <si>
    <t>于吉</t>
    <phoneticPr fontId="2" type="noConversion"/>
  </si>
  <si>
    <t>严畯</t>
    <phoneticPr fontId="2" type="noConversion"/>
  </si>
  <si>
    <t>张纮</t>
    <phoneticPr fontId="2" type="noConversion"/>
  </si>
  <si>
    <t>int</t>
    <phoneticPr fontId="2" type="noConversion"/>
  </si>
  <si>
    <t>站位</t>
    <phoneticPr fontId="2" type="noConversion"/>
  </si>
  <si>
    <t>Pos</t>
    <phoneticPr fontId="2" type="noConversion"/>
  </si>
  <si>
    <t>int</t>
    <phoneticPr fontId="2" type="noConversion"/>
  </si>
  <si>
    <t>cs</t>
    <phoneticPr fontId="2" type="noConversion"/>
  </si>
  <si>
    <t>袁绍</t>
    <phoneticPr fontId="2" type="noConversion"/>
  </si>
  <si>
    <t>袁术</t>
    <phoneticPr fontId="2" type="noConversion"/>
  </si>
  <si>
    <t>马腾</t>
    <phoneticPr fontId="2" type="noConversion"/>
  </si>
  <si>
    <t>张郃</t>
    <phoneticPr fontId="2" type="noConversion"/>
  </si>
  <si>
    <t>夏侯惇</t>
    <phoneticPr fontId="2" type="noConversion"/>
  </si>
  <si>
    <t>LightningExplosionBlue</t>
    <phoneticPr fontId="2" type="noConversion"/>
  </si>
  <si>
    <t>ExplosionFireballFire</t>
    <phoneticPr fontId="2" type="noConversion"/>
  </si>
  <si>
    <t>ExplosionFireballFire</t>
    <phoneticPr fontId="2" type="noConversion"/>
  </si>
  <si>
    <t>ShadowExplosion</t>
    <phoneticPr fontId="2" type="noConversion"/>
  </si>
  <si>
    <t>ShadowExplosion</t>
    <phoneticPr fontId="2" type="noConversion"/>
  </si>
  <si>
    <t>BulletExplosionBlue</t>
  </si>
  <si>
    <t>FrostExplosionBlue</t>
    <phoneticPr fontId="2" type="noConversion"/>
  </si>
  <si>
    <t>FrostExplosionBlue</t>
    <phoneticPr fontId="2" type="noConversion"/>
  </si>
  <si>
    <t>GasExplosionFire</t>
    <phoneticPr fontId="2" type="noConversion"/>
  </si>
  <si>
    <t>GasExplosionFire</t>
    <phoneticPr fontId="2" type="noConversion"/>
  </si>
  <si>
    <t>导弹速度</t>
    <phoneticPr fontId="2" type="noConversion"/>
  </si>
  <si>
    <t>MissileSpeed</t>
    <phoneticPr fontId="2" type="noConversion"/>
  </si>
  <si>
    <t>int</t>
    <phoneticPr fontId="2" type="noConversion"/>
  </si>
  <si>
    <t>cs</t>
    <phoneticPr fontId="2" type="noConversion"/>
  </si>
  <si>
    <t>SwordHitYellowCritical</t>
    <phoneticPr fontId="2" type="noConversion"/>
  </si>
  <si>
    <t>导弹高度</t>
    <phoneticPr fontId="2" type="noConversion"/>
  </si>
  <si>
    <t>MissileHight</t>
    <phoneticPr fontId="2" type="noConversion"/>
  </si>
  <si>
    <t>float</t>
    <phoneticPr fontId="2" type="noConversion"/>
  </si>
  <si>
    <t>cs</t>
    <phoneticPr fontId="2" type="noConversion"/>
  </si>
  <si>
    <t>RateAbs</t>
    <phoneticPr fontId="2" type="noConversion"/>
  </si>
  <si>
    <t>团队</t>
    <phoneticPr fontId="2" type="noConversion"/>
  </si>
  <si>
    <t>string</t>
    <phoneticPr fontId="2" type="noConversion"/>
  </si>
  <si>
    <t>cs</t>
    <phoneticPr fontId="2" type="noConversion"/>
  </si>
  <si>
    <t>core</t>
    <phoneticPr fontId="2" type="noConversion"/>
  </si>
  <si>
    <t>def</t>
    <phoneticPr fontId="2" type="noConversion"/>
  </si>
  <si>
    <t>atk</t>
    <phoneticPr fontId="2" type="noConversion"/>
  </si>
  <si>
    <t>shoot</t>
    <phoneticPr fontId="2" type="noConversion"/>
  </si>
  <si>
    <t>inte</t>
    <phoneticPr fontId="2" type="noConversion"/>
  </si>
  <si>
    <t>atk</t>
    <phoneticPr fontId="2" type="noConversion"/>
  </si>
  <si>
    <t>def</t>
    <phoneticPr fontId="2" type="noConversion"/>
  </si>
  <si>
    <t>atk</t>
    <phoneticPr fontId="2" type="noConversion"/>
  </si>
  <si>
    <t>def</t>
    <phoneticPr fontId="2" type="noConversion"/>
  </si>
  <si>
    <t>def</t>
    <phoneticPr fontId="2" type="noConversion"/>
  </si>
  <si>
    <t>help</t>
    <phoneticPr fontId="2" type="noConversion"/>
  </si>
  <si>
    <t>def</t>
    <phoneticPr fontId="2" type="noConversion"/>
  </si>
  <si>
    <t>atk</t>
    <phoneticPr fontId="2" type="noConversion"/>
  </si>
  <si>
    <t>Group</t>
    <phoneticPr fontId="2" type="noConversion"/>
  </si>
  <si>
    <t>杜预</t>
    <phoneticPr fontId="2" type="noConversion"/>
  </si>
  <si>
    <t>司马炎</t>
    <phoneticPr fontId="2" type="noConversion"/>
  </si>
  <si>
    <t>simayan</t>
    <phoneticPr fontId="2" type="noConversion"/>
  </si>
  <si>
    <t>毌丘俭</t>
    <phoneticPr fontId="2" type="noConversion"/>
  </si>
  <si>
    <t>郭淮</t>
    <phoneticPr fontId="2" type="noConversion"/>
  </si>
  <si>
    <t>夏侯尚</t>
    <phoneticPr fontId="2" type="noConversion"/>
  </si>
  <si>
    <t>钟繇</t>
    <phoneticPr fontId="2" type="noConversion"/>
  </si>
  <si>
    <t>满宠</t>
    <phoneticPr fontId="2" type="noConversion"/>
  </si>
  <si>
    <t>张角</t>
    <phoneticPr fontId="2" type="noConversion"/>
  </si>
  <si>
    <t>张宝</t>
    <phoneticPr fontId="2" type="noConversion"/>
  </si>
  <si>
    <t>张梁</t>
    <phoneticPr fontId="2" type="noConversion"/>
  </si>
  <si>
    <t>田丰</t>
    <phoneticPr fontId="2" type="noConversion"/>
  </si>
  <si>
    <t>鞠义</t>
    <phoneticPr fontId="2" type="noConversion"/>
  </si>
  <si>
    <t>许攸</t>
    <phoneticPr fontId="2" type="noConversion"/>
  </si>
  <si>
    <t>高览</t>
    <phoneticPr fontId="2" type="noConversion"/>
  </si>
  <si>
    <t>沮授</t>
    <phoneticPr fontId="2" type="noConversion"/>
  </si>
  <si>
    <t>郭图</t>
    <phoneticPr fontId="2" type="noConversion"/>
  </si>
  <si>
    <t>羊祜</t>
    <phoneticPr fontId="2" type="noConversion"/>
  </si>
  <si>
    <t>李儒</t>
    <phoneticPr fontId="2" type="noConversion"/>
  </si>
  <si>
    <t>郭汜</t>
    <phoneticPr fontId="2" type="noConversion"/>
  </si>
  <si>
    <t>王濬</t>
    <phoneticPr fontId="2" type="noConversion"/>
  </si>
  <si>
    <t>def</t>
    <phoneticPr fontId="2" type="noConversion"/>
  </si>
  <si>
    <t>atk</t>
    <phoneticPr fontId="2" type="noConversion"/>
  </si>
  <si>
    <t>def</t>
    <phoneticPr fontId="2" type="noConversion"/>
  </si>
  <si>
    <t>孙韶</t>
    <phoneticPr fontId="2" type="noConversion"/>
  </si>
  <si>
    <t>马良</t>
    <phoneticPr fontId="2" type="noConversion"/>
  </si>
  <si>
    <t>张昭</t>
    <phoneticPr fontId="2" type="noConversion"/>
  </si>
  <si>
    <t>蒋琬</t>
    <phoneticPr fontId="2" type="noConversion"/>
  </si>
  <si>
    <t>费祎</t>
    <phoneticPr fontId="2" type="noConversion"/>
  </si>
  <si>
    <t>廖化</t>
    <phoneticPr fontId="2" type="noConversion"/>
  </si>
  <si>
    <t>甘宁</t>
    <phoneticPr fontId="2" type="noConversion"/>
  </si>
  <si>
    <t>丁奉</t>
    <phoneticPr fontId="2" type="noConversion"/>
  </si>
  <si>
    <t>徐庶</t>
    <phoneticPr fontId="2" type="noConversion"/>
  </si>
  <si>
    <t>牛金</t>
    <phoneticPr fontId="2" type="noConversion"/>
  </si>
  <si>
    <t>文鸯</t>
    <phoneticPr fontId="2" type="noConversion"/>
  </si>
  <si>
    <t>华雄</t>
    <phoneticPr fontId="2" type="noConversion"/>
  </si>
  <si>
    <t>凌统</t>
    <phoneticPr fontId="2" type="noConversion"/>
  </si>
  <si>
    <t>庞德</t>
    <phoneticPr fontId="2" type="noConversion"/>
  </si>
  <si>
    <t>许褚</t>
    <phoneticPr fontId="2" type="noConversion"/>
  </si>
  <si>
    <t>文聘</t>
    <phoneticPr fontId="2" type="noConversion"/>
  </si>
  <si>
    <t>吕蒙</t>
    <phoneticPr fontId="2" type="noConversion"/>
  </si>
  <si>
    <t>曹丕</t>
    <phoneticPr fontId="2" type="noConversion"/>
  </si>
  <si>
    <t>朱桓</t>
    <phoneticPr fontId="2" type="noConversion"/>
  </si>
  <si>
    <t>陈宫</t>
    <phoneticPr fontId="2" type="noConversion"/>
  </si>
  <si>
    <t>曹冲</t>
    <phoneticPr fontId="2" type="noConversion"/>
  </si>
  <si>
    <t>李恢</t>
    <phoneticPr fontId="2" type="noConversion"/>
  </si>
  <si>
    <t>蒋济</t>
    <phoneticPr fontId="2" type="noConversion"/>
  </si>
  <si>
    <t>韩遂</t>
    <phoneticPr fontId="2" type="noConversion"/>
  </si>
  <si>
    <t>辛宪英</t>
    <phoneticPr fontId="2" type="noConversion"/>
  </si>
  <si>
    <t>王异</t>
    <phoneticPr fontId="2" type="noConversion"/>
  </si>
  <si>
    <t>甄宓</t>
    <phoneticPr fontId="2" type="noConversion"/>
  </si>
  <si>
    <t>蔡琰</t>
    <phoneticPr fontId="2" type="noConversion"/>
  </si>
  <si>
    <t>张任</t>
    <phoneticPr fontId="2" type="noConversion"/>
  </si>
  <si>
    <t>MoveSpeed</t>
    <phoneticPr fontId="3" type="noConversion"/>
  </si>
  <si>
    <t>Range</t>
    <phoneticPr fontId="3" type="noConversion"/>
  </si>
  <si>
    <t>戏志才</t>
    <phoneticPr fontId="2" type="noConversion"/>
  </si>
  <si>
    <t>刘巴</t>
    <phoneticPr fontId="2" type="noConversion"/>
  </si>
  <si>
    <t>神</t>
  </si>
  <si>
    <t>威</t>
  </si>
  <si>
    <t>斩</t>
  </si>
  <si>
    <t>破</t>
  </si>
  <si>
    <t>矢</t>
  </si>
  <si>
    <t>藤</t>
  </si>
  <si>
    <t>锁</t>
  </si>
  <si>
    <t>百</t>
  </si>
  <si>
    <t>伏</t>
  </si>
  <si>
    <t>刺</t>
  </si>
  <si>
    <t>青</t>
  </si>
  <si>
    <t>雨</t>
  </si>
  <si>
    <t>护</t>
  </si>
  <si>
    <t>连</t>
  </si>
  <si>
    <t>商</t>
  </si>
  <si>
    <t>虎</t>
  </si>
  <si>
    <t>镜</t>
  </si>
  <si>
    <t>天</t>
    <phoneticPr fontId="2" type="noConversion"/>
  </si>
  <si>
    <t>青</t>
    <phoneticPr fontId="2" type="noConversion"/>
  </si>
  <si>
    <t>国</t>
    <phoneticPr fontId="2" type="noConversion"/>
  </si>
  <si>
    <t>鬼</t>
    <phoneticPr fontId="2" type="noConversion"/>
  </si>
  <si>
    <t>炎</t>
    <phoneticPr fontId="2" type="noConversion"/>
  </si>
  <si>
    <t>学</t>
    <phoneticPr fontId="2" type="noConversion"/>
  </si>
  <si>
    <t>Skill1</t>
    <phoneticPr fontId="2" type="noConversion"/>
  </si>
  <si>
    <t>string</t>
    <phoneticPr fontId="2" type="noConversion"/>
  </si>
  <si>
    <t>Skill2</t>
    <phoneticPr fontId="2" type="noConversion"/>
  </si>
  <si>
    <t>技能2</t>
    <phoneticPr fontId="2" type="noConversion"/>
  </si>
  <si>
    <t>int[]</t>
    <phoneticPr fontId="2" type="noConversion"/>
  </si>
  <si>
    <t>Skills</t>
    <phoneticPr fontId="2" type="noConversion"/>
  </si>
  <si>
    <t>帅</t>
  </si>
  <si>
    <t>士</t>
  </si>
  <si>
    <t>车</t>
  </si>
  <si>
    <t>戟</t>
  </si>
  <si>
    <t>枪</t>
  </si>
  <si>
    <t>炮</t>
  </si>
  <si>
    <t>弩</t>
  </si>
  <si>
    <t>谋</t>
  </si>
  <si>
    <t>相</t>
  </si>
  <si>
    <t>扇</t>
  </si>
  <si>
    <t>弓</t>
  </si>
  <si>
    <t>乐</t>
  </si>
  <si>
    <t>医</t>
  </si>
  <si>
    <t>刀</t>
  </si>
  <si>
    <t>马</t>
  </si>
  <si>
    <t>鼓</t>
  </si>
  <si>
    <t>连</t>
    <phoneticPr fontId="2" type="noConversion"/>
  </si>
  <si>
    <t>连</t>
    <phoneticPr fontId="2" type="noConversion"/>
  </si>
  <si>
    <t>连</t>
    <phoneticPr fontId="2" type="noConversion"/>
  </si>
  <si>
    <t>延</t>
    <phoneticPr fontId="2" type="noConversion"/>
  </si>
  <si>
    <t>坚</t>
    <phoneticPr fontId="2" type="noConversion"/>
  </si>
  <si>
    <t>坚</t>
    <phoneticPr fontId="2" type="noConversion"/>
  </si>
  <si>
    <t>解</t>
    <phoneticPr fontId="2" type="noConversion"/>
  </si>
  <si>
    <t>atk</t>
    <phoneticPr fontId="2" type="noConversion"/>
  </si>
  <si>
    <t>atk</t>
    <phoneticPr fontId="2" type="noConversion"/>
  </si>
  <si>
    <t>help</t>
    <phoneticPr fontId="2" type="noConversion"/>
  </si>
  <si>
    <t>atk</t>
    <phoneticPr fontId="2" type="noConversion"/>
  </si>
  <si>
    <t>atk</t>
    <phoneticPr fontId="2" type="noConversion"/>
  </si>
  <si>
    <t>atk</t>
    <phoneticPr fontId="2" type="noConversion"/>
  </si>
  <si>
    <t>def</t>
    <phoneticPr fontId="2" type="noConversion"/>
  </si>
  <si>
    <t>def</t>
    <phoneticPr fontId="2" type="noConversion"/>
  </si>
  <si>
    <t>help</t>
    <phoneticPr fontId="2" type="noConversion"/>
  </si>
  <si>
    <t>atk</t>
    <phoneticPr fontId="2" type="noConversion"/>
  </si>
  <si>
    <t>inte</t>
    <phoneticPr fontId="2" type="noConversion"/>
  </si>
  <si>
    <t>def</t>
    <phoneticPr fontId="2" type="noConversion"/>
  </si>
  <si>
    <t>atk</t>
    <phoneticPr fontId="2" type="noConversion"/>
  </si>
  <si>
    <t>help</t>
    <phoneticPr fontId="2" type="noConversion"/>
  </si>
  <si>
    <t>米</t>
    <phoneticPr fontId="2" type="noConversion"/>
  </si>
  <si>
    <t>米</t>
    <phoneticPr fontId="2" type="noConversion"/>
  </si>
  <si>
    <t>劫</t>
    <phoneticPr fontId="2" type="noConversion"/>
  </si>
  <si>
    <t>透</t>
    <phoneticPr fontId="2" type="noConversion"/>
  </si>
  <si>
    <t>透</t>
    <phoneticPr fontId="2" type="noConversion"/>
  </si>
  <si>
    <t>励</t>
  </si>
  <si>
    <t>奋</t>
    <phoneticPr fontId="2" type="noConversion"/>
  </si>
  <si>
    <t>奋</t>
    <phoneticPr fontId="2" type="noConversion"/>
  </si>
  <si>
    <t>奋</t>
    <phoneticPr fontId="2" type="noConversion"/>
  </si>
  <si>
    <t>SwordHitYellowCritical</t>
    <phoneticPr fontId="2" type="noConversion"/>
  </si>
  <si>
    <t>ShadowExplosionGreen</t>
    <phoneticPr fontId="2" type="noConversion"/>
  </si>
  <si>
    <t>FanExplosion</t>
    <phoneticPr fontId="2" type="noConversion"/>
  </si>
  <si>
    <t>SoulExplosionOrange</t>
    <phoneticPr fontId="2" type="noConversion"/>
  </si>
  <si>
    <t>SharpExplosionGreen</t>
    <phoneticPr fontId="2" type="noConversion"/>
  </si>
  <si>
    <t>LightningExplosionYellow</t>
    <phoneticPr fontId="2" type="noConversion"/>
  </si>
  <si>
    <t>SwordHitGreenCritical</t>
    <phoneticPr fontId="2" type="noConversion"/>
  </si>
  <si>
    <t>SwordHitWhiteCritical</t>
    <phoneticPr fontId="2" type="noConversion"/>
  </si>
  <si>
    <t>SwordHitWhiteCritical</t>
    <phoneticPr fontId="2" type="noConversion"/>
  </si>
  <si>
    <t>SwordHitBlackRedCritical</t>
    <phoneticPr fontId="2" type="noConversion"/>
  </si>
  <si>
    <t>BulletExplosionBlue</t>
    <phoneticPr fontId="2" type="noConversion"/>
  </si>
  <si>
    <t>BulletExplosionFire</t>
    <phoneticPr fontId="2" type="noConversion"/>
  </si>
  <si>
    <t>奇</t>
    <phoneticPr fontId="2" type="noConversion"/>
  </si>
  <si>
    <t>铁</t>
    <phoneticPr fontId="2" type="noConversion"/>
  </si>
  <si>
    <t>速</t>
    <phoneticPr fontId="2" type="noConversion"/>
  </si>
  <si>
    <t>旋</t>
    <phoneticPr fontId="2" type="noConversion"/>
  </si>
  <si>
    <t>旋</t>
    <phoneticPr fontId="2" type="noConversion"/>
  </si>
  <si>
    <t>炮</t>
    <phoneticPr fontId="2" type="noConversion"/>
  </si>
  <si>
    <t>分</t>
    <phoneticPr fontId="2" type="noConversion"/>
  </si>
  <si>
    <t>魔</t>
    <phoneticPr fontId="2" type="noConversion"/>
  </si>
  <si>
    <t>实</t>
    <phoneticPr fontId="2" type="noConversion"/>
  </si>
  <si>
    <t>境</t>
    <phoneticPr fontId="2" type="noConversion"/>
  </si>
  <si>
    <t>透</t>
    <phoneticPr fontId="2" type="noConversion"/>
  </si>
  <si>
    <t>伏</t>
    <phoneticPr fontId="2" type="noConversion"/>
  </si>
  <si>
    <t>连</t>
    <phoneticPr fontId="2" type="noConversion"/>
  </si>
  <si>
    <t>竟</t>
    <phoneticPr fontId="2" type="noConversion"/>
  </si>
  <si>
    <t>竟</t>
    <phoneticPr fontId="2" type="noConversion"/>
  </si>
  <si>
    <t>静</t>
    <phoneticPr fontId="2" type="noConversion"/>
  </si>
  <si>
    <t>识</t>
    <phoneticPr fontId="2" type="noConversion"/>
  </si>
  <si>
    <t>识</t>
    <phoneticPr fontId="2" type="noConversion"/>
  </si>
  <si>
    <t>调</t>
    <phoneticPr fontId="2" type="noConversion"/>
  </si>
  <si>
    <t>碉</t>
    <phoneticPr fontId="2" type="noConversion"/>
  </si>
  <si>
    <t>碉</t>
    <phoneticPr fontId="2" type="noConversion"/>
  </si>
  <si>
    <t>曲</t>
    <phoneticPr fontId="2" type="noConversion"/>
  </si>
  <si>
    <t>曲</t>
    <phoneticPr fontId="2" type="noConversion"/>
  </si>
  <si>
    <t>药</t>
    <phoneticPr fontId="2" type="noConversion"/>
  </si>
  <si>
    <t>敏</t>
    <phoneticPr fontId="2" type="noConversion"/>
  </si>
  <si>
    <t>敏</t>
    <phoneticPr fontId="2" type="noConversion"/>
  </si>
  <si>
    <t>劫</t>
    <phoneticPr fontId="2" type="noConversion"/>
  </si>
  <si>
    <t>火</t>
    <phoneticPr fontId="2" type="noConversion"/>
  </si>
  <si>
    <t>GasShootFire</t>
    <phoneticPr fontId="2" type="noConversion"/>
  </si>
  <si>
    <t>斧</t>
    <phoneticPr fontId="2" type="noConversion"/>
  </si>
  <si>
    <t>共</t>
    <phoneticPr fontId="2" type="noConversion"/>
  </si>
  <si>
    <t>雷</t>
    <phoneticPr fontId="2" type="noConversion"/>
  </si>
  <si>
    <t>仁</t>
    <phoneticPr fontId="2" type="noConversion"/>
  </si>
  <si>
    <t>衡</t>
    <phoneticPr fontId="2" type="noConversion"/>
  </si>
  <si>
    <t>虐</t>
    <phoneticPr fontId="2" type="noConversion"/>
  </si>
  <si>
    <t>虐</t>
    <phoneticPr fontId="2" type="noConversion"/>
  </si>
  <si>
    <t>米</t>
  </si>
  <si>
    <t>米</t>
    <phoneticPr fontId="2" type="noConversion"/>
  </si>
  <si>
    <t>励</t>
    <phoneticPr fontId="2" type="noConversion"/>
  </si>
  <si>
    <t>奋</t>
    <phoneticPr fontId="2" type="noConversion"/>
  </si>
  <si>
    <t>缓</t>
    <phoneticPr fontId="2" type="noConversion"/>
  </si>
  <si>
    <t>BulletExplosionBlue</t>
    <phoneticPr fontId="2" type="noConversion"/>
  </si>
  <si>
    <t>羽</t>
    <phoneticPr fontId="2" type="noConversion"/>
  </si>
  <si>
    <t>羽</t>
    <phoneticPr fontId="2" type="noConversion"/>
  </si>
  <si>
    <t>乱</t>
    <phoneticPr fontId="2" type="noConversion"/>
  </si>
  <si>
    <t>乱</t>
    <phoneticPr fontId="2" type="noConversion"/>
  </si>
  <si>
    <t>炽</t>
    <phoneticPr fontId="2" type="noConversion"/>
  </si>
  <si>
    <t>空</t>
    <phoneticPr fontId="2" type="noConversion"/>
  </si>
  <si>
    <t>破</t>
    <phoneticPr fontId="2" type="noConversion"/>
  </si>
  <si>
    <t>纷</t>
  </si>
  <si>
    <t>白</t>
  </si>
  <si>
    <t>坚</t>
  </si>
  <si>
    <t>坚</t>
    <phoneticPr fontId="2" type="noConversion"/>
  </si>
  <si>
    <t>复</t>
  </si>
  <si>
    <t>敏</t>
  </si>
  <si>
    <t>陷</t>
  </si>
  <si>
    <t>溃</t>
    <phoneticPr fontId="2" type="noConversion"/>
  </si>
  <si>
    <t>Fair</t>
    <phoneticPr fontId="2" type="noConversion"/>
  </si>
  <si>
    <t>内政</t>
    <phoneticPr fontId="2" type="noConversion"/>
  </si>
  <si>
    <t>魅力</t>
    <phoneticPr fontId="2" type="noConversion"/>
  </si>
  <si>
    <t>Charm</t>
    <phoneticPr fontId="2" type="noConversion"/>
  </si>
  <si>
    <t>liubei</t>
    <phoneticPr fontId="2" type="noConversion"/>
  </si>
  <si>
    <t>caocao</t>
    <phoneticPr fontId="2" type="noConversion"/>
  </si>
  <si>
    <t>sunquan</t>
    <phoneticPr fontId="2" type="noConversion"/>
  </si>
  <si>
    <t>dongzhuo</t>
    <phoneticPr fontId="2" type="noConversion"/>
  </si>
  <si>
    <t>yuanshao</t>
    <phoneticPr fontId="2" type="noConversion"/>
  </si>
  <si>
    <t>zhaoyun</t>
    <phoneticPr fontId="2" type="noConversion"/>
  </si>
  <si>
    <t>zhangfei</t>
    <phoneticPr fontId="2" type="noConversion"/>
  </si>
  <si>
    <t>machao</t>
    <phoneticPr fontId="2" type="noConversion"/>
  </si>
  <si>
    <t>zhugeliang</t>
    <phoneticPr fontId="2" type="noConversion"/>
  </si>
  <si>
    <t>guanyu</t>
    <phoneticPr fontId="2" type="noConversion"/>
  </si>
  <si>
    <t>xusu</t>
    <phoneticPr fontId="2" type="noConversion"/>
  </si>
  <si>
    <t>weiyan</t>
    <phoneticPr fontId="2" type="noConversion"/>
  </si>
  <si>
    <t>huangzhong</t>
    <phoneticPr fontId="2" type="noConversion"/>
  </si>
  <si>
    <t>zhoucang</t>
    <phoneticPr fontId="2" type="noConversion"/>
  </si>
  <si>
    <t>jiangwei</t>
    <phoneticPr fontId="2" type="noConversion"/>
  </si>
  <si>
    <t>madai</t>
    <phoneticPr fontId="2" type="noConversion"/>
  </si>
  <si>
    <t>guanxing</t>
    <phoneticPr fontId="2" type="noConversion"/>
  </si>
  <si>
    <t>guanping</t>
    <phoneticPr fontId="2" type="noConversion"/>
  </si>
  <si>
    <t>yanyan</t>
    <phoneticPr fontId="2" type="noConversion"/>
  </si>
  <si>
    <t>liaohua</t>
    <phoneticPr fontId="2" type="noConversion"/>
  </si>
  <si>
    <t>menghuo</t>
    <phoneticPr fontId="2" type="noConversion"/>
  </si>
  <si>
    <t>pangtong</t>
    <phoneticPr fontId="2" type="noConversion"/>
  </si>
  <si>
    <t>liyan</t>
    <phoneticPr fontId="2" type="noConversion"/>
  </si>
  <si>
    <t>zhangbao</t>
    <phoneticPr fontId="2" type="noConversion"/>
  </si>
  <si>
    <t>zhangsong</t>
    <phoneticPr fontId="2" type="noConversion"/>
  </si>
  <si>
    <t>guansuo</t>
    <phoneticPr fontId="2" type="noConversion"/>
  </si>
  <si>
    <t>jianyong</t>
    <phoneticPr fontId="2" type="noConversion"/>
  </si>
  <si>
    <t>jiangwan</t>
    <phoneticPr fontId="2" type="noConversion"/>
  </si>
  <si>
    <t>sunqian</t>
    <phoneticPr fontId="2" type="noConversion"/>
  </si>
  <si>
    <t>feiyi</t>
    <phoneticPr fontId="2" type="noConversion"/>
  </si>
  <si>
    <t>masu</t>
    <phoneticPr fontId="2" type="noConversion"/>
  </si>
  <si>
    <t>dongyun</t>
    <phoneticPr fontId="2" type="noConversion"/>
  </si>
  <si>
    <t>wangping</t>
    <phoneticPr fontId="2" type="noConversion"/>
  </si>
  <si>
    <t>dengzhi</t>
    <phoneticPr fontId="2" type="noConversion"/>
  </si>
  <si>
    <t>guoyouzhi</t>
    <phoneticPr fontId="2" type="noConversion"/>
  </si>
  <si>
    <t>maliang</t>
    <phoneticPr fontId="2" type="noConversion"/>
  </si>
  <si>
    <t>huangyueying</t>
    <phoneticPr fontId="2" type="noConversion"/>
  </si>
  <si>
    <t>fazheng</t>
    <phoneticPr fontId="2" type="noConversion"/>
  </si>
  <si>
    <t>liushan</t>
    <phoneticPr fontId="2" type="noConversion"/>
  </si>
  <si>
    <t>zhurong</t>
    <phoneticPr fontId="2" type="noConversion"/>
  </si>
  <si>
    <t>huangquan</t>
    <phoneticPr fontId="2" type="noConversion"/>
  </si>
  <si>
    <t>mengda</t>
    <phoneticPr fontId="2" type="noConversion"/>
  </si>
  <si>
    <t>liufeng</t>
    <phoneticPr fontId="2" type="noConversion"/>
  </si>
  <si>
    <t>lihui</t>
    <phoneticPr fontId="2" type="noConversion"/>
  </si>
  <si>
    <t>liuba</t>
    <phoneticPr fontId="2" type="noConversion"/>
  </si>
  <si>
    <t>guojia</t>
    <phoneticPr fontId="2" type="noConversion"/>
  </si>
  <si>
    <t>xiahoudun</t>
    <phoneticPr fontId="2" type="noConversion"/>
  </si>
  <si>
    <t>xunyu</t>
    <phoneticPr fontId="2" type="noConversion"/>
  </si>
  <si>
    <t>zhangliao</t>
    <phoneticPr fontId="2" type="noConversion"/>
  </si>
  <si>
    <t>xuchu</t>
    <phoneticPr fontId="2" type="noConversion"/>
  </si>
  <si>
    <t>xiahouyuan</t>
    <phoneticPr fontId="2" type="noConversion"/>
  </si>
  <si>
    <t>dianwei</t>
    <phoneticPr fontId="2" type="noConversion"/>
  </si>
  <si>
    <t>zhanghe</t>
    <phoneticPr fontId="2" type="noConversion"/>
  </si>
  <si>
    <t>xuhuang</t>
    <phoneticPr fontId="2" type="noConversion"/>
  </si>
  <si>
    <t>xunyou</t>
    <phoneticPr fontId="2" type="noConversion"/>
  </si>
  <si>
    <t>yujin</t>
    <phoneticPr fontId="2" type="noConversion"/>
  </si>
  <si>
    <t>caoren</t>
    <phoneticPr fontId="2" type="noConversion"/>
  </si>
  <si>
    <t>caohong</t>
    <phoneticPr fontId="2" type="noConversion"/>
  </si>
  <si>
    <t>pangde</t>
    <phoneticPr fontId="2" type="noConversion"/>
  </si>
  <si>
    <t>lejin</t>
    <phoneticPr fontId="2" type="noConversion"/>
  </si>
  <si>
    <t>wenpin</t>
    <phoneticPr fontId="2" type="noConversion"/>
  </si>
  <si>
    <t>caoxiu</t>
    <phoneticPr fontId="2" type="noConversion"/>
  </si>
  <si>
    <t>simayi</t>
    <phoneticPr fontId="2" type="noConversion"/>
  </si>
  <si>
    <t>xiahouba</t>
    <phoneticPr fontId="2" type="noConversion"/>
  </si>
  <si>
    <t>haozhao</t>
    <phoneticPr fontId="2" type="noConversion"/>
  </si>
  <si>
    <t>wangshuang</t>
    <phoneticPr fontId="2" type="noConversion"/>
  </si>
  <si>
    <t>chengyu</t>
    <phoneticPr fontId="2" type="noConversion"/>
  </si>
  <si>
    <t>yangxiu</t>
    <phoneticPr fontId="2" type="noConversion"/>
  </si>
  <si>
    <t>niujin</t>
    <phoneticPr fontId="2" type="noConversion"/>
  </si>
  <si>
    <t>wenyuan</t>
    <phoneticPr fontId="2" type="noConversion"/>
  </si>
  <si>
    <t>caozhen</t>
    <phoneticPr fontId="2" type="noConversion"/>
  </si>
  <si>
    <t>chenqun</t>
    <phoneticPr fontId="2" type="noConversion"/>
  </si>
  <si>
    <t>lidian</t>
    <phoneticPr fontId="2" type="noConversion"/>
  </si>
  <si>
    <t>caopi</t>
    <phoneticPr fontId="2" type="noConversion"/>
  </si>
  <si>
    <t>caozhi</t>
    <phoneticPr fontId="2" type="noConversion"/>
  </si>
  <si>
    <t>liuye</t>
    <phoneticPr fontId="2" type="noConversion"/>
  </si>
  <si>
    <t>zhuling</t>
    <phoneticPr fontId="2" type="noConversion"/>
  </si>
  <si>
    <t>caozhang</t>
    <phoneticPr fontId="2" type="noConversion"/>
  </si>
  <si>
    <t>guanqiujian</t>
    <phoneticPr fontId="2" type="noConversion"/>
  </si>
  <si>
    <t>guohuai</t>
    <phoneticPr fontId="2" type="noConversion"/>
  </si>
  <si>
    <t>xiahoushang</t>
    <phoneticPr fontId="2" type="noConversion"/>
  </si>
  <si>
    <t>zhongyao</t>
    <phoneticPr fontId="2" type="noConversion"/>
  </si>
  <si>
    <t>manchong</t>
    <phoneticPr fontId="2" type="noConversion"/>
  </si>
  <si>
    <t>caochong</t>
    <phoneticPr fontId="2" type="noConversion"/>
  </si>
  <si>
    <t>jiangji</t>
    <phoneticPr fontId="2" type="noConversion"/>
  </si>
  <si>
    <t>zhenshi</t>
    <phoneticPr fontId="2" type="noConversion"/>
  </si>
  <si>
    <t>xizhicai</t>
    <phoneticPr fontId="2" type="noConversion"/>
  </si>
  <si>
    <t>sunjian</t>
    <phoneticPr fontId="2" type="noConversion"/>
  </si>
  <si>
    <t>sunce</t>
    <phoneticPr fontId="2" type="noConversion"/>
  </si>
  <si>
    <t>ganning</t>
    <phoneticPr fontId="2" type="noConversion"/>
  </si>
  <si>
    <t>taishici</t>
    <phoneticPr fontId="2" type="noConversion"/>
  </si>
  <si>
    <t>huanggai</t>
    <phoneticPr fontId="2" type="noConversion"/>
  </si>
  <si>
    <t>zhoutai</t>
    <phoneticPr fontId="2" type="noConversion"/>
  </si>
  <si>
    <t>lusu</t>
    <phoneticPr fontId="2" type="noConversion"/>
  </si>
  <si>
    <t>zhouyu</t>
    <phoneticPr fontId="2" type="noConversion"/>
  </si>
  <si>
    <t>jiangqing</t>
    <phoneticPr fontId="2" type="noConversion"/>
  </si>
  <si>
    <t>lvmeng</t>
    <phoneticPr fontId="2" type="noConversion"/>
  </si>
  <si>
    <t>luxun</t>
    <phoneticPr fontId="2" type="noConversion"/>
  </si>
  <si>
    <t>zhangzhao</t>
    <phoneticPr fontId="2" type="noConversion"/>
  </si>
  <si>
    <t>zhugejin</t>
    <phoneticPr fontId="2" type="noConversion"/>
  </si>
  <si>
    <t>sunshangxiang</t>
    <phoneticPr fontId="2" type="noConversion"/>
  </si>
  <si>
    <t>zhuhuan</t>
    <phoneticPr fontId="2" type="noConversion"/>
  </si>
  <si>
    <t>daqiao</t>
    <phoneticPr fontId="2" type="noConversion"/>
  </si>
  <si>
    <t>xiaoqiao</t>
    <phoneticPr fontId="2" type="noConversion"/>
  </si>
  <si>
    <t>dingfeng</t>
    <phoneticPr fontId="2" type="noConversion"/>
  </si>
  <si>
    <t>dongxi</t>
    <phoneticPr fontId="2" type="noConversion"/>
  </si>
  <si>
    <t>lingtong</t>
    <phoneticPr fontId="2" type="noConversion"/>
  </si>
  <si>
    <t>panzhang</t>
    <phoneticPr fontId="2" type="noConversion"/>
  </si>
  <si>
    <t>zhuzhi</t>
    <phoneticPr fontId="2" type="noConversion"/>
  </si>
  <si>
    <t>xusheng</t>
    <phoneticPr fontId="2" type="noConversion"/>
  </si>
  <si>
    <t>chengpu</t>
    <phoneticPr fontId="2" type="noConversion"/>
  </si>
  <si>
    <t>zhanghong</t>
    <phoneticPr fontId="2" type="noConversion"/>
  </si>
  <si>
    <t>guyong</t>
    <phoneticPr fontId="2" type="noConversion"/>
  </si>
  <si>
    <t>buzhi</t>
    <phoneticPr fontId="2" type="noConversion"/>
  </si>
  <si>
    <t>kanze</t>
    <phoneticPr fontId="2" type="noConversion"/>
  </si>
  <si>
    <t>handang</t>
    <phoneticPr fontId="2" type="noConversion"/>
  </si>
  <si>
    <t>lukang</t>
    <phoneticPr fontId="2" type="noConversion"/>
  </si>
  <si>
    <t>zhugege</t>
    <phoneticPr fontId="2" type="noConversion"/>
  </si>
  <si>
    <t>sufei</t>
    <phoneticPr fontId="2" type="noConversion"/>
  </si>
  <si>
    <t>quanzong</t>
    <phoneticPr fontId="2" type="noConversion"/>
  </si>
  <si>
    <t>chengwu</t>
    <phoneticPr fontId="2" type="noConversion"/>
  </si>
  <si>
    <t>zhuran</t>
    <phoneticPr fontId="2" type="noConversion"/>
  </si>
  <si>
    <t>sunshao</t>
    <phoneticPr fontId="2" type="noConversion"/>
  </si>
  <si>
    <t>sunhuan</t>
    <phoneticPr fontId="2" type="noConversion"/>
  </si>
  <si>
    <t>yanjun</t>
    <phoneticPr fontId="2" type="noConversion"/>
  </si>
  <si>
    <t>lvbu</t>
    <phoneticPr fontId="2" type="noConversion"/>
  </si>
  <si>
    <t>huaxiong</t>
    <phoneticPr fontId="2" type="noConversion"/>
  </si>
  <si>
    <t>jiaxu</t>
    <phoneticPr fontId="2" type="noConversion"/>
  </si>
  <si>
    <t>diaochan</t>
    <phoneticPr fontId="2" type="noConversion"/>
  </si>
  <si>
    <t>zangba</t>
    <phoneticPr fontId="2" type="noConversion"/>
  </si>
  <si>
    <t>gaoshun</t>
    <phoneticPr fontId="2" type="noConversion"/>
  </si>
  <si>
    <t>liru</t>
    <phoneticPr fontId="2" type="noConversion"/>
  </si>
  <si>
    <t>lijue</t>
    <phoneticPr fontId="2" type="noConversion"/>
  </si>
  <si>
    <t>guosi</t>
    <phoneticPr fontId="2" type="noConversion"/>
  </si>
  <si>
    <t>chengong</t>
    <phoneticPr fontId="2" type="noConversion"/>
  </si>
  <si>
    <t>dengai</t>
    <phoneticPr fontId="2" type="noConversion"/>
  </si>
  <si>
    <t>simashi</t>
    <phoneticPr fontId="2" type="noConversion"/>
  </si>
  <si>
    <t>simazhao</t>
    <phoneticPr fontId="2" type="noConversion"/>
  </si>
  <si>
    <t>yangku</t>
    <phoneticPr fontId="2" type="noConversion"/>
  </si>
  <si>
    <t>zhonghui</t>
    <phoneticPr fontId="2" type="noConversion"/>
  </si>
  <si>
    <t>chentai</t>
    <phoneticPr fontId="2" type="noConversion"/>
  </si>
  <si>
    <t>duyu</t>
    <phoneticPr fontId="2" type="noConversion"/>
  </si>
  <si>
    <t>wangrui</t>
    <phoneticPr fontId="2" type="noConversion"/>
  </si>
  <si>
    <t>xinxianying</t>
    <phoneticPr fontId="2" type="noConversion"/>
  </si>
  <si>
    <t>yanliang</t>
    <phoneticPr fontId="2" type="noConversion"/>
  </si>
  <si>
    <t>wenchou</t>
    <phoneticPr fontId="2" type="noConversion"/>
  </si>
  <si>
    <t>tianfeng</t>
    <phoneticPr fontId="2" type="noConversion"/>
  </si>
  <si>
    <t>juyi</t>
    <phoneticPr fontId="2" type="noConversion"/>
  </si>
  <si>
    <t>xuyou</t>
    <phoneticPr fontId="2" type="noConversion"/>
  </si>
  <si>
    <t>gaolan</t>
    <phoneticPr fontId="2" type="noConversion"/>
  </si>
  <si>
    <t>jushou</t>
    <phoneticPr fontId="2" type="noConversion"/>
  </si>
  <si>
    <t>guotu</t>
    <phoneticPr fontId="2" type="noConversion"/>
  </si>
  <si>
    <t>gongsunzan</t>
    <phoneticPr fontId="2" type="noConversion"/>
  </si>
  <si>
    <t>zhangren</t>
    <phoneticPr fontId="2" type="noConversion"/>
  </si>
  <si>
    <t>huatuo</t>
    <phoneticPr fontId="2" type="noConversion"/>
  </si>
  <si>
    <t>yuanshu</t>
    <phoneticPr fontId="2" type="noConversion"/>
  </si>
  <si>
    <t>mateng</t>
    <phoneticPr fontId="2" type="noConversion"/>
  </si>
  <si>
    <t>yuji</t>
    <phoneticPr fontId="2" type="noConversion"/>
  </si>
  <si>
    <t>zhangjiao</t>
    <phoneticPr fontId="2" type="noConversion"/>
  </si>
  <si>
    <t>zhangbao2</t>
    <phoneticPr fontId="2" type="noConversion"/>
  </si>
  <si>
    <t>zhangliang</t>
    <phoneticPr fontId="2" type="noConversion"/>
  </si>
  <si>
    <t>hansui</t>
    <phoneticPr fontId="2" type="noConversion"/>
  </si>
  <si>
    <t>wangyi</t>
    <phoneticPr fontId="2" type="noConversion"/>
  </si>
  <si>
    <t>caiyan</t>
    <phoneticPr fontId="2" type="noConversion"/>
  </si>
  <si>
    <t>刘表</t>
    <phoneticPr fontId="2" type="noConversion"/>
  </si>
  <si>
    <t>刘璋</t>
    <phoneticPr fontId="2" type="noConversion"/>
  </si>
  <si>
    <t>张鲁</t>
    <phoneticPr fontId="2" type="noConversion"/>
  </si>
  <si>
    <t>zhanglu</t>
    <phoneticPr fontId="2" type="noConversion"/>
  </si>
  <si>
    <t>liubiao</t>
    <phoneticPr fontId="2" type="noConversion"/>
  </si>
  <si>
    <t>liuzhang</t>
    <phoneticPr fontId="2" type="noConversion"/>
  </si>
  <si>
    <t>公孙度</t>
    <phoneticPr fontId="2" type="noConversion"/>
  </si>
  <si>
    <t>gongsundu</t>
    <phoneticPr fontId="2" type="noConversion"/>
  </si>
  <si>
    <t>公孙范</t>
    <phoneticPr fontId="2" type="noConversion"/>
  </si>
  <si>
    <t>公孙续</t>
    <phoneticPr fontId="2" type="noConversion"/>
  </si>
  <si>
    <t>王门</t>
    <phoneticPr fontId="2" type="noConversion"/>
  </si>
  <si>
    <t>田豫</t>
    <phoneticPr fontId="2" type="noConversion"/>
  </si>
  <si>
    <t>田楷</t>
    <phoneticPr fontId="2" type="noConversion"/>
  </si>
  <si>
    <t>单经</t>
    <phoneticPr fontId="2" type="noConversion"/>
  </si>
  <si>
    <t>邹丹</t>
    <phoneticPr fontId="2" type="noConversion"/>
  </si>
  <si>
    <t>关靖</t>
    <phoneticPr fontId="2" type="noConversion"/>
  </si>
  <si>
    <t>公孙恭</t>
    <phoneticPr fontId="2" type="noConversion"/>
  </si>
  <si>
    <t>公孙康</t>
    <phoneticPr fontId="2" type="noConversion"/>
  </si>
  <si>
    <t>张卫</t>
    <phoneticPr fontId="2" type="noConversion"/>
  </si>
  <si>
    <t>杨任</t>
    <phoneticPr fontId="2" type="noConversion"/>
  </si>
  <si>
    <t>杨昂</t>
    <phoneticPr fontId="2" type="noConversion"/>
  </si>
  <si>
    <t>杨松</t>
    <phoneticPr fontId="2" type="noConversion"/>
  </si>
  <si>
    <t>杨柏</t>
    <phoneticPr fontId="2" type="noConversion"/>
  </si>
  <si>
    <t>阎圃</t>
    <phoneticPr fontId="2" type="noConversion"/>
  </si>
  <si>
    <t>李丰</t>
    <phoneticPr fontId="2" type="noConversion"/>
  </si>
  <si>
    <t>纪灵</t>
    <phoneticPr fontId="2" type="noConversion"/>
  </si>
  <si>
    <t>袁胤</t>
    <phoneticPr fontId="2" type="noConversion"/>
  </si>
  <si>
    <t>张勋</t>
    <phoneticPr fontId="2" type="noConversion"/>
  </si>
  <si>
    <t>梁纲</t>
    <phoneticPr fontId="2" type="noConversion"/>
  </si>
  <si>
    <t>陈纪</t>
    <phoneticPr fontId="2" type="noConversion"/>
  </si>
  <si>
    <t>陈兰</t>
    <phoneticPr fontId="2" type="noConversion"/>
  </si>
  <si>
    <t>杨弘</t>
    <phoneticPr fontId="2" type="noConversion"/>
  </si>
  <si>
    <t>雷薄</t>
    <phoneticPr fontId="2" type="noConversion"/>
  </si>
  <si>
    <t>刘勋</t>
    <phoneticPr fontId="2" type="noConversion"/>
  </si>
  <si>
    <t>乐就</t>
    <phoneticPr fontId="2" type="noConversion"/>
  </si>
  <si>
    <t>阎象</t>
    <phoneticPr fontId="2" type="noConversion"/>
  </si>
  <si>
    <t>韩胤</t>
    <phoneticPr fontId="2" type="noConversion"/>
  </si>
  <si>
    <t>韩浩</t>
    <phoneticPr fontId="2" type="noConversion"/>
  </si>
  <si>
    <t>成宜</t>
  </si>
  <si>
    <t>侯选</t>
  </si>
  <si>
    <t>程银</t>
  </si>
  <si>
    <t>梁兴</t>
  </si>
  <si>
    <t>杨秋</t>
  </si>
  <si>
    <t>阎行</t>
  </si>
  <si>
    <t>成公英</t>
  </si>
  <si>
    <t>马休</t>
  </si>
  <si>
    <t>马玩</t>
  </si>
  <si>
    <t>马铁</t>
  </si>
  <si>
    <t>所在</t>
    <phoneticPr fontId="2" type="noConversion"/>
  </si>
  <si>
    <t>City</t>
    <phoneticPr fontId="2" type="noConversion"/>
  </si>
  <si>
    <t>string</t>
    <phoneticPr fontId="2" type="noConversion"/>
  </si>
  <si>
    <t>cs</t>
    <phoneticPr fontId="2" type="noConversion"/>
  </si>
  <si>
    <t>襄平</t>
  </si>
  <si>
    <t>武威</t>
    <phoneticPr fontId="2" type="noConversion"/>
  </si>
  <si>
    <t>天水</t>
    <phoneticPr fontId="2" type="noConversion"/>
  </si>
  <si>
    <t>汉中</t>
    <phoneticPr fontId="2" type="noConversion"/>
  </si>
  <si>
    <t>上庸</t>
    <phoneticPr fontId="2" type="noConversion"/>
  </si>
  <si>
    <t>汉中</t>
    <phoneticPr fontId="2" type="noConversion"/>
  </si>
  <si>
    <t>北平</t>
    <phoneticPr fontId="2" type="noConversion"/>
  </si>
  <si>
    <t>蓟</t>
  </si>
  <si>
    <t>寿春</t>
    <phoneticPr fontId="2" type="noConversion"/>
  </si>
  <si>
    <t>汝南</t>
    <phoneticPr fontId="2" type="noConversion"/>
  </si>
  <si>
    <t xml:space="preserve">伊籍 </t>
    <phoneticPr fontId="2" type="noConversion"/>
  </si>
  <si>
    <t>襄阳</t>
    <phoneticPr fontId="2" type="noConversion"/>
  </si>
  <si>
    <t>江夏</t>
    <phoneticPr fontId="2" type="noConversion"/>
  </si>
  <si>
    <t>武陵</t>
    <phoneticPr fontId="2" type="noConversion"/>
  </si>
  <si>
    <t>江陵</t>
    <phoneticPr fontId="2" type="noConversion"/>
  </si>
  <si>
    <t>零陵</t>
    <phoneticPr fontId="2" type="noConversion"/>
  </si>
  <si>
    <t>焦触</t>
    <phoneticPr fontId="2" type="noConversion"/>
  </si>
  <si>
    <t>吕翔</t>
    <phoneticPr fontId="2" type="noConversion"/>
  </si>
  <si>
    <t>吕旷</t>
    <phoneticPr fontId="2" type="noConversion"/>
  </si>
  <si>
    <t>张南</t>
    <phoneticPr fontId="2" type="noConversion"/>
  </si>
  <si>
    <t>眭元进</t>
    <phoneticPr fontId="2" type="noConversion"/>
  </si>
  <si>
    <t>袁尚</t>
    <phoneticPr fontId="2" type="noConversion"/>
  </si>
  <si>
    <t>袁谭</t>
    <phoneticPr fontId="2" type="noConversion"/>
  </si>
  <si>
    <t>周昂</t>
    <phoneticPr fontId="2" type="noConversion"/>
  </si>
  <si>
    <t>田畴</t>
    <phoneticPr fontId="2" type="noConversion"/>
  </si>
  <si>
    <t>淳于琼</t>
    <phoneticPr fontId="2" type="noConversion"/>
  </si>
  <si>
    <t>吕威璜</t>
    <phoneticPr fontId="2" type="noConversion"/>
  </si>
  <si>
    <t>审配</t>
    <phoneticPr fontId="2" type="noConversion"/>
  </si>
  <si>
    <t>韩莒子</t>
    <phoneticPr fontId="2" type="noConversion"/>
  </si>
  <si>
    <t>蒋义渠</t>
    <phoneticPr fontId="2" type="noConversion"/>
  </si>
  <si>
    <t>高干</t>
    <phoneticPr fontId="2" type="noConversion"/>
  </si>
  <si>
    <t>袁熙</t>
    <phoneticPr fontId="2" type="noConversion"/>
  </si>
  <si>
    <t>陈震</t>
    <phoneticPr fontId="2" type="noConversion"/>
  </si>
  <si>
    <t>辛评</t>
    <phoneticPr fontId="2" type="noConversion"/>
  </si>
  <si>
    <t>高柔</t>
    <phoneticPr fontId="2" type="noConversion"/>
  </si>
  <si>
    <t>荀谌</t>
    <phoneticPr fontId="2" type="noConversion"/>
  </si>
  <si>
    <t>辛毗</t>
    <phoneticPr fontId="2" type="noConversion"/>
  </si>
  <si>
    <t>逢纪</t>
    <phoneticPr fontId="2" type="noConversion"/>
  </si>
  <si>
    <t>陈琳</t>
    <phoneticPr fontId="2" type="noConversion"/>
  </si>
  <si>
    <t>胡车儿</t>
    <phoneticPr fontId="2" type="noConversion"/>
  </si>
  <si>
    <t>魏续</t>
    <phoneticPr fontId="2" type="noConversion"/>
  </si>
  <si>
    <t>宋宪</t>
    <phoneticPr fontId="2" type="noConversion"/>
  </si>
  <si>
    <t>徐荣</t>
    <phoneticPr fontId="2" type="noConversion"/>
  </si>
  <si>
    <t>侯成</t>
    <phoneticPr fontId="2" type="noConversion"/>
  </si>
  <si>
    <t>张绣</t>
    <phoneticPr fontId="2" type="noConversion"/>
  </si>
  <si>
    <t>樊稠</t>
    <phoneticPr fontId="2" type="noConversion"/>
  </si>
  <si>
    <t>曹性</t>
    <phoneticPr fontId="2" type="noConversion"/>
  </si>
  <si>
    <t>李肃</t>
    <phoneticPr fontId="2" type="noConversion"/>
  </si>
  <si>
    <t>张济</t>
    <phoneticPr fontId="2" type="noConversion"/>
  </si>
  <si>
    <t>朱儁</t>
    <phoneticPr fontId="2" type="noConversion"/>
  </si>
  <si>
    <t>杨奉</t>
    <phoneticPr fontId="2" type="noConversion"/>
  </si>
  <si>
    <t>牛辅</t>
    <phoneticPr fontId="2" type="noConversion"/>
  </si>
  <si>
    <t>董承</t>
    <phoneticPr fontId="2" type="noConversion"/>
  </si>
  <si>
    <t>华歆</t>
    <phoneticPr fontId="2" type="noConversion"/>
  </si>
  <si>
    <t>王允</t>
    <phoneticPr fontId="2" type="noConversion"/>
  </si>
  <si>
    <t>李傕</t>
    <phoneticPr fontId="2" type="noConversion"/>
  </si>
  <si>
    <t>洛阳</t>
    <phoneticPr fontId="2" type="noConversion"/>
  </si>
  <si>
    <t>长安</t>
    <phoneticPr fontId="2" type="noConversion"/>
  </si>
  <si>
    <t>安定</t>
    <phoneticPr fontId="2" type="noConversion"/>
  </si>
  <si>
    <t>雷铜</t>
  </si>
  <si>
    <t>高沛</t>
  </si>
  <si>
    <t>杨怀</t>
  </si>
  <si>
    <t>吴兰</t>
  </si>
  <si>
    <t>庞羲</t>
  </si>
  <si>
    <t>法正</t>
    <phoneticPr fontId="2" type="noConversion"/>
  </si>
  <si>
    <t>王甫</t>
  </si>
  <si>
    <t>董和</t>
  </si>
  <si>
    <t>吴懿</t>
  </si>
  <si>
    <t>吴班</t>
  </si>
  <si>
    <t>冷苞</t>
  </si>
  <si>
    <t>刘璝</t>
  </si>
  <si>
    <t>王累</t>
  </si>
  <si>
    <t>秦宓</t>
  </si>
  <si>
    <t>费诗</t>
  </si>
  <si>
    <t>许靖</t>
  </si>
  <si>
    <t>郭攸之</t>
    <phoneticPr fontId="2" type="noConversion"/>
  </si>
  <si>
    <t>江州</t>
    <phoneticPr fontId="2" type="noConversion"/>
  </si>
  <si>
    <t>梓潼</t>
    <phoneticPr fontId="2" type="noConversion"/>
  </si>
  <si>
    <t>成都</t>
    <phoneticPr fontId="2" type="noConversion"/>
  </si>
  <si>
    <t>建宁</t>
    <phoneticPr fontId="2" type="noConversion"/>
  </si>
  <si>
    <t>云南</t>
    <phoneticPr fontId="2" type="noConversion"/>
  </si>
  <si>
    <t>建宁</t>
    <phoneticPr fontId="2" type="noConversion"/>
  </si>
  <si>
    <t>胡班</t>
    <phoneticPr fontId="2" type="noConversion"/>
  </si>
  <si>
    <t>糜竺</t>
    <phoneticPr fontId="2" type="noConversion"/>
  </si>
  <si>
    <t>糜芳</t>
    <phoneticPr fontId="2" type="noConversion"/>
  </si>
  <si>
    <t>陈到</t>
    <phoneticPr fontId="2" type="noConversion"/>
  </si>
  <si>
    <t>新野</t>
  </si>
  <si>
    <t>田予</t>
  </si>
  <si>
    <t>张燕</t>
  </si>
  <si>
    <t>陈登</t>
  </si>
  <si>
    <t>曹纯</t>
  </si>
  <si>
    <t>王凌</t>
  </si>
  <si>
    <t>张既</t>
  </si>
  <si>
    <t>李通</t>
  </si>
  <si>
    <t>夏侯德</t>
  </si>
  <si>
    <t>夏侯恩</t>
  </si>
  <si>
    <t>温恢</t>
  </si>
  <si>
    <t>陈矫</t>
  </si>
  <si>
    <t>王修</t>
  </si>
  <si>
    <t>国渊</t>
  </si>
  <si>
    <t>娄圭</t>
  </si>
  <si>
    <t>王朗</t>
  </si>
  <si>
    <t>孔融</t>
  </si>
  <si>
    <t>司马朗</t>
  </si>
  <si>
    <t>董昭</t>
  </si>
  <si>
    <t>蒋干</t>
  </si>
  <si>
    <t>许昌</t>
  </si>
  <si>
    <t>濮阳</t>
    <phoneticPr fontId="2" type="noConversion"/>
  </si>
  <si>
    <t>陈留</t>
    <phoneticPr fontId="2" type="noConversion"/>
  </si>
  <si>
    <t>宛</t>
  </si>
  <si>
    <t>小沛</t>
  </si>
  <si>
    <t>下邳</t>
  </si>
  <si>
    <t>北海</t>
  </si>
  <si>
    <t>吕范</t>
  </si>
  <si>
    <t>马忠</t>
  </si>
  <si>
    <t>贾华</t>
  </si>
  <si>
    <t>陆绩</t>
  </si>
  <si>
    <t>程秉</t>
  </si>
  <si>
    <t>吕岱</t>
  </si>
  <si>
    <t>孙瑜</t>
  </si>
  <si>
    <t>李异</t>
  </si>
  <si>
    <t>骆统</t>
  </si>
  <si>
    <t>薛综</t>
  </si>
  <si>
    <t>孙朗</t>
  </si>
  <si>
    <t>会稽</t>
  </si>
  <si>
    <t>柴桑</t>
  </si>
  <si>
    <t>吴</t>
  </si>
  <si>
    <t>庐江</t>
  </si>
  <si>
    <t>建业</t>
  </si>
  <si>
    <t>长沙</t>
  </si>
  <si>
    <t>桂阳</t>
  </si>
  <si>
    <t>邺</t>
  </si>
  <si>
    <t>南皮</t>
  </si>
  <si>
    <t>晋阳</t>
  </si>
  <si>
    <t>平原</t>
  </si>
  <si>
    <t>永安</t>
    <phoneticPr fontId="2" type="noConversion"/>
  </si>
  <si>
    <t>ForceId</t>
    <phoneticPr fontId="2" type="noConversion"/>
  </si>
  <si>
    <t>huban</t>
    <phoneticPr fontId="2" type="noConversion"/>
  </si>
  <si>
    <t>mizhu</t>
    <phoneticPr fontId="2" type="noConversion"/>
  </si>
  <si>
    <t>mifang</t>
    <phoneticPr fontId="2" type="noConversion"/>
  </si>
  <si>
    <t>chendao</t>
    <phoneticPr fontId="2" type="noConversion"/>
  </si>
  <si>
    <t>tianyu</t>
    <phoneticPr fontId="2" type="noConversion"/>
  </si>
  <si>
    <t>zhangyan</t>
    <phoneticPr fontId="2" type="noConversion"/>
  </si>
  <si>
    <t>chendeng</t>
    <phoneticPr fontId="2" type="noConversion"/>
  </si>
  <si>
    <t>jiakui</t>
    <phoneticPr fontId="2" type="noConversion"/>
  </si>
  <si>
    <t>caochun</t>
    <phoneticPr fontId="2" type="noConversion"/>
  </si>
  <si>
    <t>wangling</t>
    <phoneticPr fontId="2" type="noConversion"/>
  </si>
  <si>
    <t>zhangji2</t>
    <phoneticPr fontId="2" type="noConversion"/>
  </si>
  <si>
    <t>梁习</t>
    <phoneticPr fontId="2" type="noConversion"/>
  </si>
  <si>
    <t>liangxi</t>
    <phoneticPr fontId="2" type="noConversion"/>
  </si>
  <si>
    <t>litong</t>
    <phoneticPr fontId="2" type="noConversion"/>
  </si>
  <si>
    <t>孙观</t>
    <phoneticPr fontId="2" type="noConversion"/>
  </si>
  <si>
    <t>sunguan</t>
    <phoneticPr fontId="2" type="noConversion"/>
  </si>
  <si>
    <t>xiahoude</t>
    <phoneticPr fontId="2" type="noConversion"/>
  </si>
  <si>
    <t>duji</t>
    <phoneticPr fontId="2" type="noConversion"/>
  </si>
  <si>
    <t>liufu</t>
  </si>
  <si>
    <t>xiahoueng</t>
  </si>
  <si>
    <t>wenhui</t>
  </si>
  <si>
    <t>maojie</t>
  </si>
  <si>
    <t>chenjiao</t>
    <phoneticPr fontId="2" type="noConversion"/>
  </si>
  <si>
    <t>lvqian</t>
    <phoneticPr fontId="2" type="noConversion"/>
  </si>
  <si>
    <t>xumiao</t>
    <phoneticPr fontId="2" type="noConversion"/>
  </si>
  <si>
    <t>wangxiu</t>
  </si>
  <si>
    <t>guoyuan</t>
    <phoneticPr fontId="2" type="noConversion"/>
  </si>
  <si>
    <t>lougui</t>
    <phoneticPr fontId="2" type="noConversion"/>
  </si>
  <si>
    <t>wanglang</t>
    <phoneticPr fontId="2" type="noConversion"/>
  </si>
  <si>
    <t>nvbianshi2</t>
  </si>
  <si>
    <t>kongrong</t>
    <phoneticPr fontId="2" type="noConversion"/>
  </si>
  <si>
    <t>simalang</t>
    <phoneticPr fontId="2" type="noConversion"/>
  </si>
  <si>
    <t>dongzhao</t>
    <phoneticPr fontId="2" type="noConversion"/>
  </si>
  <si>
    <t>huaxin</t>
    <phoneticPr fontId="2" type="noConversion"/>
  </si>
  <si>
    <t>gongsungong</t>
    <phoneticPr fontId="2" type="noConversion"/>
  </si>
  <si>
    <t>gongsunkang</t>
    <phoneticPr fontId="2" type="noConversion"/>
  </si>
  <si>
    <t>gongsunfan</t>
    <phoneticPr fontId="2" type="noConversion"/>
  </si>
  <si>
    <t>gongsunxu</t>
    <phoneticPr fontId="2" type="noConversion"/>
  </si>
  <si>
    <t>wangmen</t>
    <phoneticPr fontId="2" type="noConversion"/>
  </si>
  <si>
    <t>tiankai</t>
    <phoneticPr fontId="2" type="noConversion"/>
  </si>
  <si>
    <t>shanjing</t>
    <phoneticPr fontId="2" type="noConversion"/>
  </si>
  <si>
    <t>zoudan</t>
    <phoneticPr fontId="2" type="noConversion"/>
  </si>
  <si>
    <t>guanjing</t>
    <phoneticPr fontId="2" type="noConversion"/>
  </si>
  <si>
    <t>hucheer</t>
    <phoneticPr fontId="2" type="noConversion"/>
  </si>
  <si>
    <t>weixu</t>
    <phoneticPr fontId="2" type="noConversion"/>
  </si>
  <si>
    <t>songxian</t>
    <phoneticPr fontId="2" type="noConversion"/>
  </si>
  <si>
    <t>houcheng</t>
    <phoneticPr fontId="2" type="noConversion"/>
  </si>
  <si>
    <t>zhangxiu</t>
    <phoneticPr fontId="2" type="noConversion"/>
  </si>
  <si>
    <t>huangpusong</t>
    <phoneticPr fontId="2" type="noConversion"/>
  </si>
  <si>
    <t>zhujun</t>
    <phoneticPr fontId="2" type="noConversion"/>
  </si>
  <si>
    <t>yangfeng</t>
    <phoneticPr fontId="2" type="noConversion"/>
  </si>
  <si>
    <t>niufu</t>
    <phoneticPr fontId="2" type="noConversion"/>
  </si>
  <si>
    <t>chenggongying</t>
    <phoneticPr fontId="2" type="noConversion"/>
  </si>
  <si>
    <t>chengyi</t>
    <phoneticPr fontId="2" type="noConversion"/>
  </si>
  <si>
    <t>kuailiang</t>
  </si>
  <si>
    <t>kuaiyue</t>
    <phoneticPr fontId="2" type="noConversion"/>
  </si>
  <si>
    <t>liuqi</t>
    <phoneticPr fontId="2" type="noConversion"/>
  </si>
  <si>
    <t>caizhong</t>
    <phoneticPr fontId="2" type="noConversion"/>
  </si>
  <si>
    <t>caihe</t>
    <phoneticPr fontId="2" type="noConversion"/>
  </si>
  <si>
    <t>caimao</t>
    <phoneticPr fontId="2" type="noConversion"/>
  </si>
  <si>
    <t>nvcaishi</t>
    <phoneticPr fontId="2" type="noConversion"/>
  </si>
  <si>
    <t>lengbao</t>
    <phoneticPr fontId="2" type="noConversion"/>
  </si>
  <si>
    <t>xinpi</t>
    <phoneticPr fontId="2" type="noConversion"/>
  </si>
  <si>
    <t>fengji</t>
    <phoneticPr fontId="2" type="noConversion"/>
  </si>
  <si>
    <t>chenlin</t>
    <phoneticPr fontId="2" type="noConversion"/>
  </si>
  <si>
    <t>xunshen</t>
    <phoneticPr fontId="2" type="noConversion"/>
  </si>
  <si>
    <t>tianchou</t>
    <phoneticPr fontId="2" type="noConversion"/>
  </si>
  <si>
    <t>lvkuang</t>
    <phoneticPr fontId="2" type="noConversion"/>
  </si>
  <si>
    <t>lvxiang</t>
    <phoneticPr fontId="2" type="noConversion"/>
  </si>
  <si>
    <t>jiaochu</t>
    <phoneticPr fontId="2" type="noConversion"/>
  </si>
  <si>
    <t>gaogan</t>
    <phoneticPr fontId="2" type="noConversion"/>
  </si>
  <si>
    <t>zhangji</t>
    <phoneticPr fontId="2" type="noConversion"/>
  </si>
  <si>
    <t>dongcheng</t>
    <phoneticPr fontId="2" type="noConversion"/>
  </si>
  <si>
    <t>wangyun</t>
    <phoneticPr fontId="2" type="noConversion"/>
  </si>
  <si>
    <t>maxiu</t>
    <phoneticPr fontId="2" type="noConversion"/>
  </si>
  <si>
    <t>mawan</t>
    <phoneticPr fontId="2" type="noConversion"/>
  </si>
  <si>
    <t>matie</t>
    <phoneticPr fontId="2" type="noConversion"/>
  </si>
  <si>
    <t>chenying</t>
    <phoneticPr fontId="2" type="noConversion"/>
  </si>
  <si>
    <t>hanhao</t>
    <phoneticPr fontId="2" type="noConversion"/>
  </si>
  <si>
    <t>wanglei</t>
    <phoneticPr fontId="2" type="noConversion"/>
  </si>
  <si>
    <t>qinse</t>
    <phoneticPr fontId="2" type="noConversion"/>
  </si>
  <si>
    <t>feishi</t>
    <phoneticPr fontId="2" type="noConversion"/>
  </si>
  <si>
    <t>xujing</t>
    <phoneticPr fontId="2" type="noConversion"/>
  </si>
  <si>
    <t>yangren</t>
    <phoneticPr fontId="2" type="noConversion"/>
  </si>
  <si>
    <t>zhangwei</t>
    <phoneticPr fontId="2" type="noConversion"/>
  </si>
  <si>
    <t>lifeng</t>
    <phoneticPr fontId="2" type="noConversion"/>
  </si>
  <si>
    <t>yuanshang</t>
    <phoneticPr fontId="2" type="noConversion"/>
  </si>
  <si>
    <t>yuantan</t>
    <phoneticPr fontId="2" type="noConversion"/>
  </si>
  <si>
    <t>yuanxi</t>
    <phoneticPr fontId="2" type="noConversion"/>
  </si>
  <si>
    <t>sunjiao</t>
    <phoneticPr fontId="2" type="noConversion"/>
  </si>
  <si>
    <t>lvdai</t>
    <phoneticPr fontId="2" type="noConversion"/>
  </si>
  <si>
    <t>luji</t>
    <phoneticPr fontId="2" type="noConversion"/>
  </si>
  <si>
    <t>liyi</t>
    <phoneticPr fontId="2" type="noConversion"/>
  </si>
  <si>
    <t>lvfan</t>
    <phoneticPr fontId="2" type="noConversion"/>
  </si>
  <si>
    <t>mazhong</t>
    <phoneticPr fontId="2" type="noConversion"/>
  </si>
  <si>
    <t>lufan</t>
    <phoneticPr fontId="2" type="noConversion"/>
  </si>
  <si>
    <t>sunyu</t>
    <phoneticPr fontId="2" type="noConversion"/>
  </si>
  <si>
    <t>chunyuqiong</t>
    <phoneticPr fontId="2" type="noConversion"/>
  </si>
  <si>
    <t>shengpei</t>
    <phoneticPr fontId="2" type="noConversion"/>
  </si>
  <si>
    <t>yiji</t>
    <phoneticPr fontId="2" type="noConversion"/>
  </si>
  <si>
    <t>gaopei</t>
    <phoneticPr fontId="2" type="noConversion"/>
  </si>
  <si>
    <t>jianggan</t>
    <phoneticPr fontId="2" type="noConversion"/>
  </si>
  <si>
    <t>jiahua</t>
    <phoneticPr fontId="2" type="noConversion"/>
  </si>
  <si>
    <t>zhouang</t>
    <phoneticPr fontId="2" type="noConversion"/>
  </si>
  <si>
    <t>lvweihuang</t>
    <phoneticPr fontId="2" type="noConversion"/>
  </si>
  <si>
    <t>xinping</t>
    <phoneticPr fontId="2" type="noConversion"/>
  </si>
  <si>
    <t>jiangyiqu</t>
    <phoneticPr fontId="2" type="noConversion"/>
  </si>
  <si>
    <t>gaorou</t>
    <phoneticPr fontId="2" type="noConversion"/>
  </si>
  <si>
    <t>chenzhen</t>
    <phoneticPr fontId="2" type="noConversion"/>
  </si>
  <si>
    <t>xuezong</t>
    <phoneticPr fontId="2" type="noConversion"/>
  </si>
  <si>
    <t>caoxing</t>
    <phoneticPr fontId="2" type="noConversion"/>
  </si>
  <si>
    <t>lisu</t>
    <phoneticPr fontId="2" type="noConversion"/>
  </si>
  <si>
    <t>dongmin</t>
    <phoneticPr fontId="2" type="noConversion"/>
  </si>
  <si>
    <t>huzhen</t>
    <phoneticPr fontId="2" type="noConversion"/>
  </si>
  <si>
    <t>fanchou</t>
    <phoneticPr fontId="2" type="noConversion"/>
  </si>
  <si>
    <t>houxuan</t>
    <phoneticPr fontId="2" type="noConversion"/>
  </si>
  <si>
    <t>liangxing</t>
    <phoneticPr fontId="2" type="noConversion"/>
  </si>
  <si>
    <t>yangqiu</t>
    <phoneticPr fontId="2" type="noConversion"/>
  </si>
  <si>
    <t>yanxing</t>
    <phoneticPr fontId="2" type="noConversion"/>
  </si>
  <si>
    <t>wangwei</t>
    <phoneticPr fontId="2" type="noConversion"/>
  </si>
  <si>
    <t>huangzu</t>
    <phoneticPr fontId="2" type="noConversion"/>
  </si>
  <si>
    <t>wangcan</t>
    <phoneticPr fontId="2" type="noConversion"/>
  </si>
  <si>
    <t>hansong</t>
    <phoneticPr fontId="2" type="noConversion"/>
  </si>
  <si>
    <t>wangfu</t>
    <phoneticPr fontId="2" type="noConversion"/>
  </si>
  <si>
    <t>wulan</t>
    <phoneticPr fontId="2" type="noConversion"/>
  </si>
  <si>
    <t>pangyi</t>
    <phoneticPr fontId="2" type="noConversion"/>
  </si>
  <si>
    <t>donghe</t>
    <phoneticPr fontId="2" type="noConversion"/>
  </si>
  <si>
    <t>wuyi</t>
    <phoneticPr fontId="2" type="noConversion"/>
  </si>
  <si>
    <t>wuban</t>
    <phoneticPr fontId="2" type="noConversion"/>
  </si>
  <si>
    <t>liukui</t>
    <phoneticPr fontId="2" type="noConversion"/>
  </si>
  <si>
    <t>刘循</t>
    <phoneticPr fontId="2" type="noConversion"/>
  </si>
  <si>
    <t>liuxun</t>
    <phoneticPr fontId="2" type="noConversion"/>
  </si>
  <si>
    <t>yangang2</t>
    <phoneticPr fontId="2" type="noConversion"/>
  </si>
  <si>
    <t>yangsong</t>
    <phoneticPr fontId="2" type="noConversion"/>
  </si>
  <si>
    <t>yangbai</t>
    <phoneticPr fontId="2" type="noConversion"/>
  </si>
  <si>
    <t>yanpu</t>
    <phoneticPr fontId="2" type="noConversion"/>
  </si>
  <si>
    <t>jiling</t>
    <phoneticPr fontId="2" type="noConversion"/>
  </si>
  <si>
    <t>yuanyin</t>
    <phoneticPr fontId="2" type="noConversion"/>
  </si>
  <si>
    <t>zhangxun</t>
    <phoneticPr fontId="2" type="noConversion"/>
  </si>
  <si>
    <t>chenlan</t>
    <phoneticPr fontId="2" type="noConversion"/>
  </si>
  <si>
    <t>chenji</t>
    <phoneticPr fontId="2" type="noConversion"/>
  </si>
  <si>
    <t>桥蕤</t>
    <phoneticPr fontId="2" type="noConversion"/>
  </si>
  <si>
    <t>qiaorui</t>
    <phoneticPr fontId="2" type="noConversion"/>
  </si>
  <si>
    <t>yanxiang</t>
    <phoneticPr fontId="2" type="noConversion"/>
  </si>
  <si>
    <t>hanyin</t>
    <phoneticPr fontId="2" type="noConversion"/>
  </si>
  <si>
    <t>lejiu</t>
    <phoneticPr fontId="2" type="noConversion"/>
  </si>
  <si>
    <t>leitong</t>
    <phoneticPr fontId="2" type="noConversion"/>
  </si>
  <si>
    <t>yanghuai</t>
    <phoneticPr fontId="2" type="noConversion"/>
  </si>
  <si>
    <t>yanghong</t>
    <phoneticPr fontId="2" type="noConversion"/>
  </si>
  <si>
    <t>leibo</t>
    <phoneticPr fontId="2" type="noConversion"/>
  </si>
  <si>
    <t>xurong</t>
    <phoneticPr fontId="2" type="noConversion"/>
  </si>
  <si>
    <t>zhangyun</t>
    <phoneticPr fontId="2" type="noConversion"/>
  </si>
  <si>
    <t>liuxun2</t>
    <phoneticPr fontId="2" type="noConversion"/>
  </si>
  <si>
    <t>luotong</t>
    <phoneticPr fontId="2" type="noConversion"/>
  </si>
  <si>
    <t>sunlang</t>
    <phoneticPr fontId="2" type="noConversion"/>
  </si>
  <si>
    <t>sunkuang</t>
    <phoneticPr fontId="2" type="noConversion"/>
  </si>
  <si>
    <t>桓阶</t>
    <phoneticPr fontId="2" type="noConversion"/>
  </si>
  <si>
    <t>chenbing</t>
    <phoneticPr fontId="2" type="noConversion"/>
  </si>
  <si>
    <t>典满</t>
    <phoneticPr fontId="2" type="noConversion"/>
  </si>
  <si>
    <t>dianman</t>
    <phoneticPr fontId="2" type="noConversion"/>
  </si>
  <si>
    <t>李孚</t>
    <phoneticPr fontId="2" type="noConversion"/>
  </si>
  <si>
    <t>郭奕</t>
    <phoneticPr fontId="2" type="noConversion"/>
  </si>
  <si>
    <t>guoyi</t>
    <phoneticPr fontId="2" type="noConversion"/>
  </si>
  <si>
    <t>崔琰</t>
    <phoneticPr fontId="2" type="noConversion"/>
  </si>
  <si>
    <t>cuiyan</t>
    <phoneticPr fontId="2" type="noConversion"/>
  </si>
  <si>
    <t>lifu</t>
    <phoneticPr fontId="2" type="noConversion"/>
  </si>
  <si>
    <t>huanjie</t>
    <phoneticPr fontId="2" type="noConversion"/>
  </si>
  <si>
    <t>贺齐</t>
    <phoneticPr fontId="2" type="noConversion"/>
  </si>
  <si>
    <t>heqi</t>
    <phoneticPr fontId="2" type="noConversion"/>
  </si>
  <si>
    <t>zhangnan</t>
    <phoneticPr fontId="2" type="noConversion"/>
  </si>
  <si>
    <t>kuiyuanjin</t>
    <phoneticPr fontId="2" type="noConversion"/>
  </si>
  <si>
    <t>吴质</t>
    <phoneticPr fontId="2" type="noConversion"/>
  </si>
  <si>
    <t>wuzhi</t>
    <phoneticPr fontId="2" type="noConversion"/>
  </si>
  <si>
    <t>牵招</t>
    <phoneticPr fontId="2" type="noConversion"/>
  </si>
  <si>
    <t>qianzhao</t>
    <phoneticPr fontId="2" type="noConversion"/>
  </si>
  <si>
    <t>hanlvzi</t>
  </si>
  <si>
    <t>苏由</t>
    <phoneticPr fontId="2" type="noConversion"/>
  </si>
  <si>
    <t>suyou</t>
    <phoneticPr fontId="2" type="noConversion"/>
  </si>
  <si>
    <t>wuju</t>
    <phoneticPr fontId="2" type="noConversion"/>
  </si>
  <si>
    <t xml:space="preserve">刘磐 </t>
    <phoneticPr fontId="2" type="noConversion"/>
  </si>
  <si>
    <t>liupan</t>
    <phoneticPr fontId="2" type="noConversion"/>
  </si>
  <si>
    <t>袁涣</t>
    <phoneticPr fontId="2" type="noConversion"/>
  </si>
  <si>
    <t>yuanhuan</t>
    <phoneticPr fontId="2" type="noConversion"/>
  </si>
  <si>
    <t>袁燿</t>
    <phoneticPr fontId="2" type="noConversion"/>
  </si>
  <si>
    <t>yuanyao</t>
    <phoneticPr fontId="2" type="noConversion"/>
  </si>
  <si>
    <t>吴国太</t>
    <phoneticPr fontId="2" type="noConversion"/>
  </si>
  <si>
    <t>wuguotai</t>
    <phoneticPr fontId="2" type="noConversion"/>
  </si>
  <si>
    <t>张承</t>
    <phoneticPr fontId="2" type="noConversion"/>
  </si>
  <si>
    <t>zhangcheng</t>
    <phoneticPr fontId="2" type="noConversion"/>
  </si>
  <si>
    <t>吾粲</t>
    <phoneticPr fontId="2" type="noConversion"/>
  </si>
  <si>
    <t>wucan</t>
    <phoneticPr fontId="2" type="noConversion"/>
  </si>
  <si>
    <t>留赞</t>
    <phoneticPr fontId="2" type="noConversion"/>
  </si>
  <si>
    <t>liuzhan</t>
    <phoneticPr fontId="2" type="noConversion"/>
  </si>
  <si>
    <t>宋谦</t>
    <phoneticPr fontId="2" type="noConversion"/>
  </si>
  <si>
    <t>songqian</t>
    <phoneticPr fontId="2" type="noConversion"/>
  </si>
  <si>
    <t>太史享</t>
    <phoneticPr fontId="2" type="noConversion"/>
  </si>
  <si>
    <t>taishixiang</t>
    <phoneticPr fontId="2" type="noConversion"/>
  </si>
  <si>
    <t>lianggang</t>
    <phoneticPr fontId="2" type="noConversion"/>
  </si>
  <si>
    <t>贾逵</t>
    <phoneticPr fontId="2" type="noConversion"/>
  </si>
  <si>
    <t>杜畿</t>
    <phoneticPr fontId="2" type="noConversion"/>
  </si>
  <si>
    <t>刘馥</t>
    <phoneticPr fontId="2" type="noConversion"/>
  </si>
  <si>
    <t>毛玠</t>
    <phoneticPr fontId="2" type="noConversion"/>
  </si>
  <si>
    <t>吕虔</t>
    <phoneticPr fontId="2" type="noConversion"/>
  </si>
  <si>
    <t>徐邈</t>
    <phoneticPr fontId="2" type="noConversion"/>
  </si>
  <si>
    <t>卞氏</t>
    <phoneticPr fontId="2" type="noConversion"/>
  </si>
  <si>
    <t>虞翻</t>
    <phoneticPr fontId="2" type="noConversion"/>
  </si>
  <si>
    <t>孙皎</t>
    <phoneticPr fontId="2" type="noConversion"/>
  </si>
  <si>
    <t>孙匡</t>
    <phoneticPr fontId="2" type="noConversion"/>
  </si>
  <si>
    <t>胡轸</t>
    <phoneticPr fontId="2" type="noConversion"/>
  </si>
  <si>
    <t>董旻</t>
    <phoneticPr fontId="2" type="noConversion"/>
  </si>
  <si>
    <t>皇甫嵩</t>
    <phoneticPr fontId="2" type="noConversion"/>
  </si>
  <si>
    <t>王威</t>
    <phoneticPr fontId="2" type="noConversion"/>
  </si>
  <si>
    <t>黄忠</t>
    <phoneticPr fontId="2" type="noConversion"/>
  </si>
  <si>
    <t>魏延</t>
    <phoneticPr fontId="2" type="noConversion"/>
  </si>
  <si>
    <t>黄祖</t>
    <phoneticPr fontId="2" type="noConversion"/>
  </si>
  <si>
    <t>王粲</t>
    <phoneticPr fontId="2" type="noConversion"/>
  </si>
  <si>
    <t>朱治</t>
    <phoneticPr fontId="2" type="noConversion"/>
  </si>
  <si>
    <t>吴巨</t>
    <phoneticPr fontId="2" type="noConversion"/>
  </si>
  <si>
    <t>苏飞</t>
    <phoneticPr fontId="2" type="noConversion"/>
  </si>
  <si>
    <t>韩嵩</t>
    <phoneticPr fontId="2" type="noConversion"/>
  </si>
  <si>
    <t>张允</t>
    <phoneticPr fontId="2" type="noConversion"/>
  </si>
  <si>
    <t>蒯越</t>
    <phoneticPr fontId="2" type="noConversion"/>
  </si>
  <si>
    <t>蒯良</t>
    <phoneticPr fontId="2" type="noConversion"/>
  </si>
  <si>
    <t>蔡瑁</t>
    <phoneticPr fontId="2" type="noConversion"/>
  </si>
  <si>
    <t>蔡和</t>
    <phoneticPr fontId="2" type="noConversion"/>
  </si>
  <si>
    <t>蔡氏</t>
    <phoneticPr fontId="2" type="noConversion"/>
  </si>
  <si>
    <t>蔡中</t>
    <phoneticPr fontId="2" type="noConversion"/>
  </si>
  <si>
    <t>刘琦</t>
    <phoneticPr fontId="2" type="noConversion"/>
  </si>
  <si>
    <t>BornYear</t>
    <phoneticPr fontId="2" type="noConversion"/>
  </si>
  <si>
    <t>DeadYear</t>
    <phoneticPr fontId="2" type="noConversion"/>
  </si>
  <si>
    <t>int</t>
    <phoneticPr fontId="2" type="noConversion"/>
  </si>
  <si>
    <t>cs</t>
    <phoneticPr fontId="2" type="noConversion"/>
  </si>
  <si>
    <t>出生</t>
    <phoneticPr fontId="2" type="noConversion"/>
  </si>
  <si>
    <t>死亡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</si>
</sst>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CE9178"/>
      <name val="Consolas"/>
      <family val="3"/>
    </font>
    <font>
      <sz val="1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textRotation="255" wrapText="1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1">
    <cellStyle name="常规" xfId="0" builtinId="0"/>
  </cellStyles>
  <dxfs count="179"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3dPrj\SanKingdom\Design\config\World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1"/>
  <sheetViews>
    <sheetView tabSelected="1" topLeftCell="A139" workbookViewId="0">
      <selection activeCell="C160" sqref="C160"/>
    </sheetView>
  </sheetViews>
  <sheetFormatPr defaultRowHeight="14.25" x14ac:dyDescent="0.2"/>
  <cols>
    <col min="1" max="1" width="9.5" bestFit="1" customWidth="1"/>
    <col min="2" max="4" width="9.5" customWidth="1"/>
    <col min="5" max="11" width="8.75" customWidth="1"/>
    <col min="20" max="20" width="7.125" customWidth="1"/>
    <col min="21" max="21" width="6.625" customWidth="1"/>
    <col min="22" max="22" width="7.125" customWidth="1"/>
    <col min="23" max="24" width="4.5" customWidth="1"/>
    <col min="26" max="26" width="24" customWidth="1"/>
  </cols>
  <sheetData>
    <row r="1" spans="1:28" ht="57" customHeight="1" x14ac:dyDescent="0.2">
      <c r="A1" s="1" t="s">
        <v>0</v>
      </c>
      <c r="B1" s="9" t="s">
        <v>18</v>
      </c>
      <c r="C1" s="9" t="s">
        <v>988</v>
      </c>
      <c r="D1" s="9" t="s">
        <v>989</v>
      </c>
      <c r="E1" s="6" t="s">
        <v>39</v>
      </c>
      <c r="F1" s="6" t="s">
        <v>45</v>
      </c>
      <c r="G1" s="6" t="s">
        <v>43</v>
      </c>
      <c r="H1" s="6" t="s">
        <v>400</v>
      </c>
      <c r="I1" s="6" t="s">
        <v>401</v>
      </c>
      <c r="J1" s="6" t="s">
        <v>47</v>
      </c>
      <c r="K1" s="6" t="s">
        <v>13</v>
      </c>
      <c r="L1" s="6" t="s">
        <v>15</v>
      </c>
      <c r="M1" s="6" t="s">
        <v>615</v>
      </c>
      <c r="N1" s="6" t="s">
        <v>16</v>
      </c>
      <c r="O1" s="6" t="s">
        <v>17</v>
      </c>
      <c r="P1" s="6" t="s">
        <v>171</v>
      </c>
      <c r="Q1" s="6" t="s">
        <v>176</v>
      </c>
      <c r="R1" s="6" t="s">
        <v>94</v>
      </c>
      <c r="S1" s="6" t="s">
        <v>129</v>
      </c>
      <c r="T1" s="6" t="s">
        <v>152</v>
      </c>
      <c r="U1" s="6" t="s">
        <v>63</v>
      </c>
      <c r="V1" s="6" t="s">
        <v>131</v>
      </c>
      <c r="W1" s="6" t="s">
        <v>131</v>
      </c>
      <c r="X1" s="6" t="s">
        <v>281</v>
      </c>
      <c r="Y1" s="6" t="s">
        <v>181</v>
      </c>
      <c r="Z1" s="6" t="s">
        <v>67</v>
      </c>
      <c r="AA1" s="2" t="s">
        <v>4</v>
      </c>
    </row>
    <row r="2" spans="1:28" x14ac:dyDescent="0.2">
      <c r="A2" s="3" t="s">
        <v>1</v>
      </c>
      <c r="B2" s="3" t="s">
        <v>8</v>
      </c>
      <c r="C2" s="3" t="s">
        <v>984</v>
      </c>
      <c r="D2" s="3" t="s">
        <v>985</v>
      </c>
      <c r="E2" s="7" t="s">
        <v>40</v>
      </c>
      <c r="F2" s="7" t="s">
        <v>46</v>
      </c>
      <c r="G2" s="7" t="s">
        <v>130</v>
      </c>
      <c r="H2" s="7" t="s">
        <v>399</v>
      </c>
      <c r="I2" s="7" t="s">
        <v>402</v>
      </c>
      <c r="J2" s="7" t="s">
        <v>48</v>
      </c>
      <c r="K2" s="7" t="s">
        <v>14</v>
      </c>
      <c r="L2" s="8" t="s">
        <v>755</v>
      </c>
      <c r="M2" s="8" t="s">
        <v>616</v>
      </c>
      <c r="N2" s="7" t="s">
        <v>251</v>
      </c>
      <c r="O2" s="7" t="s">
        <v>252</v>
      </c>
      <c r="P2" s="7" t="s">
        <v>172</v>
      </c>
      <c r="Q2" s="7" t="s">
        <v>177</v>
      </c>
      <c r="R2" s="7" t="s">
        <v>128</v>
      </c>
      <c r="S2" s="7" t="s">
        <v>180</v>
      </c>
      <c r="T2" s="7" t="s">
        <v>153</v>
      </c>
      <c r="U2" s="7" t="s">
        <v>64</v>
      </c>
      <c r="V2" s="7" t="s">
        <v>283</v>
      </c>
      <c r="W2" s="7" t="s">
        <v>278</v>
      </c>
      <c r="X2" s="7" t="s">
        <v>280</v>
      </c>
      <c r="Y2" s="7" t="s">
        <v>197</v>
      </c>
      <c r="Z2" s="7" t="s">
        <v>68</v>
      </c>
      <c r="AA2" s="4" t="s">
        <v>5</v>
      </c>
    </row>
    <row r="3" spans="1:28" x14ac:dyDescent="0.2">
      <c r="A3" s="3" t="s">
        <v>151</v>
      </c>
      <c r="B3" s="3" t="s">
        <v>9</v>
      </c>
      <c r="C3" s="3" t="s">
        <v>986</v>
      </c>
      <c r="D3" s="3" t="s">
        <v>986</v>
      </c>
      <c r="E3" s="7" t="s">
        <v>41</v>
      </c>
      <c r="F3" s="7" t="s">
        <v>44</v>
      </c>
      <c r="G3" s="7" t="s">
        <v>44</v>
      </c>
      <c r="H3" s="7" t="s">
        <v>12</v>
      </c>
      <c r="I3" s="7" t="s">
        <v>12</v>
      </c>
      <c r="J3" s="7" t="s">
        <v>49</v>
      </c>
      <c r="K3" s="7" t="s">
        <v>7</v>
      </c>
      <c r="L3" s="7" t="s">
        <v>7</v>
      </c>
      <c r="M3" s="7" t="s">
        <v>617</v>
      </c>
      <c r="N3" s="7" t="s">
        <v>7</v>
      </c>
      <c r="O3" s="7" t="s">
        <v>7</v>
      </c>
      <c r="P3" s="7" t="s">
        <v>173</v>
      </c>
      <c r="Q3" s="7" t="s">
        <v>178</v>
      </c>
      <c r="R3" s="7" t="s">
        <v>61</v>
      </c>
      <c r="S3" s="7" t="s">
        <v>12</v>
      </c>
      <c r="T3" s="7" t="s">
        <v>154</v>
      </c>
      <c r="U3" s="7" t="s">
        <v>65</v>
      </c>
      <c r="V3" s="7" t="s">
        <v>282</v>
      </c>
      <c r="W3" s="7" t="s">
        <v>279</v>
      </c>
      <c r="X3" s="7" t="s">
        <v>279</v>
      </c>
      <c r="Y3" s="7" t="s">
        <v>182</v>
      </c>
      <c r="Z3" s="7" t="s">
        <v>65</v>
      </c>
      <c r="AA3" s="4" t="s">
        <v>2</v>
      </c>
    </row>
    <row r="4" spans="1:28" x14ac:dyDescent="0.2">
      <c r="A4" s="3" t="s">
        <v>3</v>
      </c>
      <c r="B4" s="3" t="s">
        <v>10</v>
      </c>
      <c r="C4" s="3" t="s">
        <v>987</v>
      </c>
      <c r="D4" s="3" t="s">
        <v>987</v>
      </c>
      <c r="E4" s="7" t="s">
        <v>42</v>
      </c>
      <c r="F4" s="7" t="s">
        <v>42</v>
      </c>
      <c r="G4" s="7" t="s">
        <v>42</v>
      </c>
      <c r="H4" s="7" t="s">
        <v>10</v>
      </c>
      <c r="I4" s="7" t="s">
        <v>10</v>
      </c>
      <c r="J4" s="7" t="s">
        <v>50</v>
      </c>
      <c r="K4" s="7" t="s">
        <v>6</v>
      </c>
      <c r="L4" s="7" t="s">
        <v>6</v>
      </c>
      <c r="M4" s="7" t="s">
        <v>618</v>
      </c>
      <c r="N4" s="7" t="s">
        <v>6</v>
      </c>
      <c r="O4" s="7" t="s">
        <v>6</v>
      </c>
      <c r="P4" s="7" t="s">
        <v>174</v>
      </c>
      <c r="Q4" s="7" t="s">
        <v>179</v>
      </c>
      <c r="R4" s="7" t="s">
        <v>62</v>
      </c>
      <c r="S4" s="7" t="s">
        <v>10</v>
      </c>
      <c r="T4" s="7" t="s">
        <v>155</v>
      </c>
      <c r="U4" s="7" t="s">
        <v>66</v>
      </c>
      <c r="V4" s="7" t="s">
        <v>66</v>
      </c>
      <c r="W4" s="7" t="s">
        <v>66</v>
      </c>
      <c r="X4" s="7" t="s">
        <v>66</v>
      </c>
      <c r="Y4" s="7" t="s">
        <v>183</v>
      </c>
      <c r="Z4" s="7" t="s">
        <v>69</v>
      </c>
      <c r="AA4" s="4" t="s">
        <v>11</v>
      </c>
    </row>
    <row r="5" spans="1:28" x14ac:dyDescent="0.2">
      <c r="A5" s="13">
        <v>100001</v>
      </c>
      <c r="B5" s="13" t="s">
        <v>28</v>
      </c>
      <c r="C5" s="13">
        <v>161</v>
      </c>
      <c r="D5" s="13">
        <v>223</v>
      </c>
      <c r="E5" s="5">
        <v>80</v>
      </c>
      <c r="F5" s="5">
        <v>77</v>
      </c>
      <c r="G5" s="5">
        <v>78</v>
      </c>
      <c r="H5" s="5">
        <v>82</v>
      </c>
      <c r="I5" s="5">
        <v>99</v>
      </c>
      <c r="J5" s="5">
        <f>SUM(E5:I5)</f>
        <v>416</v>
      </c>
      <c r="K5" s="5">
        <v>330</v>
      </c>
      <c r="L5" s="5">
        <v>1</v>
      </c>
      <c r="M5" s="5" t="s">
        <v>705</v>
      </c>
      <c r="N5" s="5">
        <v>10</v>
      </c>
      <c r="O5" s="5">
        <v>17</v>
      </c>
      <c r="P5" s="5"/>
      <c r="Q5" s="5"/>
      <c r="R5" s="5">
        <v>0</v>
      </c>
      <c r="S5" s="5">
        <v>100</v>
      </c>
      <c r="T5" s="5">
        <v>1</v>
      </c>
      <c r="U5" s="5" t="s">
        <v>284</v>
      </c>
      <c r="V5" s="5"/>
      <c r="W5" s="5" t="s">
        <v>374</v>
      </c>
      <c r="X5" s="5"/>
      <c r="Y5" s="5" t="s">
        <v>184</v>
      </c>
      <c r="Z5" s="11" t="s">
        <v>71</v>
      </c>
      <c r="AA5" s="5" t="s">
        <v>403</v>
      </c>
      <c r="AB5" t="e">
        <f>COUNTIF([1]Sheet1!#REF!, "*"&amp; A5&amp;"*")</f>
        <v>#REF!</v>
      </c>
    </row>
    <row r="6" spans="1:28" x14ac:dyDescent="0.2">
      <c r="A6" s="5">
        <v>101001</v>
      </c>
      <c r="B6" s="5" t="s">
        <v>20</v>
      </c>
      <c r="C6" s="5">
        <v>165</v>
      </c>
      <c r="D6" s="5">
        <v>221</v>
      </c>
      <c r="E6" s="5">
        <v>92</v>
      </c>
      <c r="F6" s="5">
        <v>98</v>
      </c>
      <c r="G6" s="5">
        <v>48</v>
      </c>
      <c r="H6" s="5">
        <v>45</v>
      </c>
      <c r="I6" s="5">
        <v>70</v>
      </c>
      <c r="J6" s="5">
        <f>SUM(E6:I6)</f>
        <v>353</v>
      </c>
      <c r="K6" s="5">
        <v>310</v>
      </c>
      <c r="L6" s="5">
        <v>1</v>
      </c>
      <c r="M6" s="5" t="s">
        <v>705</v>
      </c>
      <c r="N6" s="5">
        <v>10</v>
      </c>
      <c r="O6" s="5">
        <v>17</v>
      </c>
      <c r="P6" s="5"/>
      <c r="Q6" s="5"/>
      <c r="R6" s="5">
        <f>MAX(25, INT(POWER(2.2,J6/45)))</f>
        <v>485</v>
      </c>
      <c r="S6" s="5">
        <v>0</v>
      </c>
      <c r="T6" s="5">
        <v>1</v>
      </c>
      <c r="U6" s="5" t="s">
        <v>288</v>
      </c>
      <c r="V6" s="5"/>
      <c r="W6" s="5" t="s">
        <v>256</v>
      </c>
      <c r="X6" s="5"/>
      <c r="Y6" s="5" t="s">
        <v>186</v>
      </c>
      <c r="Z6" s="10" t="s">
        <v>71</v>
      </c>
      <c r="AA6" s="5" t="s">
        <v>409</v>
      </c>
      <c r="AB6" t="e">
        <f>COUNTIF([1]Sheet1!#REF!, "*"&amp; A6&amp;"*")</f>
        <v>#REF!</v>
      </c>
    </row>
    <row r="7" spans="1:28" x14ac:dyDescent="0.2">
      <c r="A7" s="5">
        <v>101002</v>
      </c>
      <c r="B7" s="5" t="s">
        <v>30</v>
      </c>
      <c r="C7" s="5">
        <v>160</v>
      </c>
      <c r="D7" s="5">
        <v>220</v>
      </c>
      <c r="E7" s="5">
        <v>97</v>
      </c>
      <c r="F7" s="5">
        <v>97</v>
      </c>
      <c r="G7" s="5">
        <v>77</v>
      </c>
      <c r="H7" s="5">
        <v>75</v>
      </c>
      <c r="I7" s="5">
        <v>94</v>
      </c>
      <c r="J7" s="5">
        <f>SUM(E7:I7)</f>
        <v>440</v>
      </c>
      <c r="K7" s="5">
        <v>260</v>
      </c>
      <c r="L7" s="5">
        <v>1</v>
      </c>
      <c r="M7" s="5" t="s">
        <v>705</v>
      </c>
      <c r="N7" s="5">
        <v>10</v>
      </c>
      <c r="O7" s="5">
        <v>17</v>
      </c>
      <c r="P7" s="5"/>
      <c r="Q7" s="5"/>
      <c r="R7" s="5">
        <f>MAX(25, INT(POWER(2.2,J7/45)))</f>
        <v>2229</v>
      </c>
      <c r="S7" s="5">
        <v>0</v>
      </c>
      <c r="T7" s="5">
        <v>1</v>
      </c>
      <c r="U7" s="5" t="s">
        <v>286</v>
      </c>
      <c r="V7" s="5"/>
      <c r="W7" s="5" t="s">
        <v>257</v>
      </c>
      <c r="X7" s="5"/>
      <c r="Y7" s="5" t="s">
        <v>186</v>
      </c>
      <c r="Z7" s="10" t="s">
        <v>336</v>
      </c>
      <c r="AA7" s="5" t="s">
        <v>412</v>
      </c>
      <c r="AB7" t="e">
        <f>COUNTIF([1]Sheet1!#REF!, "*"&amp; A7&amp;"*")</f>
        <v>#REF!</v>
      </c>
    </row>
    <row r="8" spans="1:28" x14ac:dyDescent="0.2">
      <c r="A8" s="5">
        <v>101003</v>
      </c>
      <c r="B8" s="5" t="s">
        <v>230</v>
      </c>
      <c r="C8" s="5">
        <v>189</v>
      </c>
      <c r="D8" s="5">
        <v>234</v>
      </c>
      <c r="E8" s="5">
        <v>87</v>
      </c>
      <c r="F8" s="5">
        <v>65</v>
      </c>
      <c r="G8" s="5">
        <v>93</v>
      </c>
      <c r="H8" s="5">
        <v>82</v>
      </c>
      <c r="I8" s="5">
        <v>84</v>
      </c>
      <c r="J8" s="5">
        <f>SUM(E8:I8)</f>
        <v>411</v>
      </c>
      <c r="K8" s="5">
        <v>230</v>
      </c>
      <c r="L8" s="5">
        <v>1</v>
      </c>
      <c r="M8" s="5" t="s">
        <v>705</v>
      </c>
      <c r="N8" s="5">
        <v>10</v>
      </c>
      <c r="O8" s="5">
        <v>17</v>
      </c>
      <c r="P8" s="5">
        <v>15</v>
      </c>
      <c r="Q8" s="5"/>
      <c r="R8" s="5">
        <f>MAX(25, INT(POWER(2.2,J8/45)))</f>
        <v>1341</v>
      </c>
      <c r="S8" s="5">
        <v>0</v>
      </c>
      <c r="T8" s="5">
        <v>3</v>
      </c>
      <c r="U8" s="5" t="s">
        <v>291</v>
      </c>
      <c r="V8" s="5"/>
      <c r="W8" s="5" t="s">
        <v>369</v>
      </c>
      <c r="X8" s="5" t="s">
        <v>372</v>
      </c>
      <c r="Y8" s="5" t="s">
        <v>188</v>
      </c>
      <c r="Z8" s="10" t="s">
        <v>169</v>
      </c>
      <c r="AA8" s="5" t="s">
        <v>413</v>
      </c>
      <c r="AB8" t="e">
        <f>COUNTIF([1]Sheet1!#REF!, "*"&amp; A8&amp;"*")</f>
        <v>#REF!</v>
      </c>
    </row>
    <row r="9" spans="1:28" x14ac:dyDescent="0.2">
      <c r="A9" s="5">
        <v>101004</v>
      </c>
      <c r="B9" s="5" t="s">
        <v>21</v>
      </c>
      <c r="C9" s="5">
        <v>178</v>
      </c>
      <c r="D9" s="5">
        <v>220</v>
      </c>
      <c r="E9" s="5">
        <v>63</v>
      </c>
      <c r="F9" s="5">
        <v>82</v>
      </c>
      <c r="G9" s="5">
        <v>55</v>
      </c>
      <c r="H9" s="5">
        <v>58</v>
      </c>
      <c r="I9" s="5">
        <v>65</v>
      </c>
      <c r="J9" s="5">
        <f>SUM(E9:I9)</f>
        <v>323</v>
      </c>
      <c r="K9" s="5">
        <v>335</v>
      </c>
      <c r="L9" s="5">
        <v>1</v>
      </c>
      <c r="M9" s="5" t="s">
        <v>705</v>
      </c>
      <c r="N9" s="5">
        <v>10</v>
      </c>
      <c r="O9" s="5">
        <v>17</v>
      </c>
      <c r="P9" s="5"/>
      <c r="Q9" s="5"/>
      <c r="R9" s="5">
        <f>MAX(25, INT(POWER(2.2,J9/45)))</f>
        <v>286</v>
      </c>
      <c r="S9" s="5">
        <v>0</v>
      </c>
      <c r="T9" s="5">
        <v>1</v>
      </c>
      <c r="U9" s="5" t="s">
        <v>297</v>
      </c>
      <c r="V9" s="5"/>
      <c r="W9" s="5" t="s">
        <v>368</v>
      </c>
      <c r="X9" s="5"/>
      <c r="Y9" s="5" t="s">
        <v>307</v>
      </c>
      <c r="Z9" s="10" t="s">
        <v>71</v>
      </c>
      <c r="AA9" s="5" t="s">
        <v>416</v>
      </c>
      <c r="AB9" t="e">
        <f>COUNTIF([1]Sheet1!#REF!, "*"&amp; A9&amp;"*")</f>
        <v>#REF!</v>
      </c>
    </row>
    <row r="10" spans="1:28" x14ac:dyDescent="0.2">
      <c r="A10" s="5">
        <v>101005</v>
      </c>
      <c r="B10" s="5" t="s">
        <v>227</v>
      </c>
      <c r="C10" s="5">
        <v>184</v>
      </c>
      <c r="D10" s="5">
        <v>264</v>
      </c>
      <c r="E10" s="5">
        <v>74</v>
      </c>
      <c r="F10" s="5">
        <v>78</v>
      </c>
      <c r="G10" s="5">
        <v>68</v>
      </c>
      <c r="H10" s="5">
        <v>70</v>
      </c>
      <c r="I10" s="5">
        <v>72</v>
      </c>
      <c r="J10" s="5">
        <f>SUM(E10:I10)</f>
        <v>362</v>
      </c>
      <c r="K10" s="5">
        <v>330</v>
      </c>
      <c r="L10" s="5">
        <v>1</v>
      </c>
      <c r="M10" s="5" t="s">
        <v>705</v>
      </c>
      <c r="N10" s="5">
        <v>10</v>
      </c>
      <c r="O10" s="5">
        <v>17</v>
      </c>
      <c r="P10" s="5"/>
      <c r="Q10" s="5"/>
      <c r="R10" s="5">
        <f>MAX(25, INT(POWER(2.2,J10/45)))</f>
        <v>568</v>
      </c>
      <c r="S10" s="5">
        <v>0</v>
      </c>
      <c r="T10" s="5">
        <v>1</v>
      </c>
      <c r="U10" s="5" t="s">
        <v>297</v>
      </c>
      <c r="V10" s="5"/>
      <c r="W10" s="5" t="s">
        <v>324</v>
      </c>
      <c r="X10" s="5"/>
      <c r="Y10" s="5" t="s">
        <v>308</v>
      </c>
      <c r="Z10" s="10" t="s">
        <v>71</v>
      </c>
      <c r="AA10" s="5" t="s">
        <v>422</v>
      </c>
      <c r="AB10" t="e">
        <f>COUNTIF([1]Sheet1!#REF!, "*"&amp; A10&amp;"*")</f>
        <v>#REF!</v>
      </c>
    </row>
    <row r="11" spans="1:28" x14ac:dyDescent="0.2">
      <c r="A11" s="5">
        <v>101006</v>
      </c>
      <c r="B11" s="5" t="s">
        <v>75</v>
      </c>
      <c r="C11" s="5">
        <v>164</v>
      </c>
      <c r="D11" s="5">
        <v>221</v>
      </c>
      <c r="E11" s="5">
        <v>72</v>
      </c>
      <c r="F11" s="5">
        <v>65</v>
      </c>
      <c r="G11" s="5">
        <v>69</v>
      </c>
      <c r="H11" s="5">
        <v>75</v>
      </c>
      <c r="I11" s="5">
        <v>70</v>
      </c>
      <c r="J11" s="5">
        <f>SUM(E11:I11)</f>
        <v>351</v>
      </c>
      <c r="K11" s="5">
        <v>240</v>
      </c>
      <c r="L11" s="5">
        <v>1</v>
      </c>
      <c r="M11" s="5" t="s">
        <v>705</v>
      </c>
      <c r="N11" s="5">
        <v>10</v>
      </c>
      <c r="O11" s="5">
        <v>17</v>
      </c>
      <c r="P11" s="5">
        <v>22</v>
      </c>
      <c r="Q11" s="5">
        <v>1.5</v>
      </c>
      <c r="R11" s="5">
        <f>MAX(25, INT(POWER(2.2,J11/45)))</f>
        <v>468</v>
      </c>
      <c r="S11" s="5">
        <v>0</v>
      </c>
      <c r="T11" s="5">
        <v>3</v>
      </c>
      <c r="U11" s="5" t="s">
        <v>294</v>
      </c>
      <c r="V11" s="5"/>
      <c r="W11" s="5" t="s">
        <v>390</v>
      </c>
      <c r="Y11" s="5" t="s">
        <v>187</v>
      </c>
      <c r="Z11" s="10" t="s">
        <v>166</v>
      </c>
      <c r="AA11" s="5" t="s">
        <v>429</v>
      </c>
      <c r="AB11" t="e">
        <f>COUNTIF([1]Sheet1!#REF!, "*"&amp; A11&amp;"*")</f>
        <v>#REF!</v>
      </c>
    </row>
    <row r="12" spans="1:28" x14ac:dyDescent="0.2">
      <c r="A12" s="5">
        <v>101007</v>
      </c>
      <c r="B12" s="5" t="s">
        <v>85</v>
      </c>
      <c r="C12" s="5">
        <v>163</v>
      </c>
      <c r="D12" s="5">
        <v>215</v>
      </c>
      <c r="E12" s="5">
        <v>62</v>
      </c>
      <c r="F12" s="5">
        <v>54</v>
      </c>
      <c r="G12" s="5">
        <v>80</v>
      </c>
      <c r="H12" s="5">
        <v>84</v>
      </c>
      <c r="I12" s="5">
        <v>82</v>
      </c>
      <c r="J12" s="5">
        <f>SUM(E12:I12)</f>
        <v>362</v>
      </c>
      <c r="K12" s="5">
        <v>250</v>
      </c>
      <c r="L12" s="5">
        <v>1</v>
      </c>
      <c r="M12" s="5" t="s">
        <v>705</v>
      </c>
      <c r="N12" s="5">
        <v>10</v>
      </c>
      <c r="O12" s="5">
        <v>17</v>
      </c>
      <c r="P12" s="5">
        <v>35</v>
      </c>
      <c r="Q12" s="5"/>
      <c r="R12" s="5">
        <f>MAX(25, INT(POWER(2.2,J12/45)))</f>
        <v>568</v>
      </c>
      <c r="S12" s="5">
        <v>0</v>
      </c>
      <c r="T12" s="5">
        <v>3</v>
      </c>
      <c r="U12" s="5" t="s">
        <v>299</v>
      </c>
      <c r="V12" s="5"/>
      <c r="W12" t="s">
        <v>392</v>
      </c>
      <c r="X12" s="5"/>
      <c r="Y12" s="5" t="s">
        <v>194</v>
      </c>
      <c r="Z12" s="10" t="s">
        <v>333</v>
      </c>
      <c r="AA12" s="5" t="s">
        <v>431</v>
      </c>
      <c r="AB12" t="e">
        <f>COUNTIF([1]Sheet1!#REF!, "*"&amp; A12&amp;"*")</f>
        <v>#REF!</v>
      </c>
    </row>
    <row r="13" spans="1:28" x14ac:dyDescent="0.2">
      <c r="A13" s="5">
        <v>101009</v>
      </c>
      <c r="B13" s="5" t="s">
        <v>53</v>
      </c>
      <c r="C13" s="5">
        <v>178</v>
      </c>
      <c r="D13" s="5">
        <v>220</v>
      </c>
      <c r="E13" s="5">
        <v>79</v>
      </c>
      <c r="F13" s="5">
        <v>82</v>
      </c>
      <c r="G13" s="5">
        <v>72</v>
      </c>
      <c r="H13" s="5">
        <v>71</v>
      </c>
      <c r="I13" s="5">
        <v>78</v>
      </c>
      <c r="J13" s="5">
        <f>SUM(E13:I13)</f>
        <v>382</v>
      </c>
      <c r="K13" s="5">
        <v>290</v>
      </c>
      <c r="L13" s="5">
        <v>1</v>
      </c>
      <c r="M13" s="5" t="s">
        <v>705</v>
      </c>
      <c r="N13" s="5">
        <v>10</v>
      </c>
      <c r="O13" s="5">
        <v>17</v>
      </c>
      <c r="P13" s="5"/>
      <c r="Q13" s="5"/>
      <c r="R13" s="5">
        <f>MAX(25, INT(POWER(2.2,J13/45)))</f>
        <v>806</v>
      </c>
      <c r="S13" s="5">
        <v>0</v>
      </c>
      <c r="T13" s="5">
        <v>1</v>
      </c>
      <c r="U13" s="5" t="s">
        <v>287</v>
      </c>
      <c r="V13" s="5"/>
      <c r="W13" s="5" t="s">
        <v>300</v>
      </c>
      <c r="Y13" s="5" t="s">
        <v>185</v>
      </c>
      <c r="Z13" s="10" t="s">
        <v>71</v>
      </c>
      <c r="AA13" s="5" t="s">
        <v>420</v>
      </c>
      <c r="AB13" t="e">
        <f>COUNTIF([1]Sheet1!#REF!, "*"&amp; A13&amp;"*")</f>
        <v>#REF!</v>
      </c>
    </row>
    <row r="14" spans="1:28" x14ac:dyDescent="0.2">
      <c r="A14" s="5">
        <v>101010</v>
      </c>
      <c r="B14" s="5" t="s">
        <v>701</v>
      </c>
      <c r="C14" s="5">
        <v>170</v>
      </c>
      <c r="D14" s="5">
        <v>220</v>
      </c>
      <c r="E14" s="5">
        <v>54</v>
      </c>
      <c r="F14" s="5">
        <v>54</v>
      </c>
      <c r="G14" s="5">
        <v>57</v>
      </c>
      <c r="H14" s="5">
        <v>49</v>
      </c>
      <c r="I14" s="5">
        <v>61</v>
      </c>
      <c r="J14" s="5">
        <f>SUM(E14:I14)</f>
        <v>275</v>
      </c>
      <c r="K14" s="5">
        <v>310</v>
      </c>
      <c r="L14" s="5">
        <v>1</v>
      </c>
      <c r="M14" s="5" t="s">
        <v>705</v>
      </c>
      <c r="N14" s="5">
        <v>10</v>
      </c>
      <c r="O14" s="5">
        <v>17</v>
      </c>
      <c r="P14" s="5"/>
      <c r="Q14" s="5"/>
      <c r="R14" s="5">
        <f>MAX(25, INT(POWER(2.2,J14/45)))</f>
        <v>123</v>
      </c>
      <c r="S14" s="5">
        <v>0</v>
      </c>
      <c r="T14" s="5">
        <v>1</v>
      </c>
      <c r="U14" s="5" t="s">
        <v>298</v>
      </c>
      <c r="V14" s="5"/>
      <c r="W14" s="5"/>
      <c r="X14" s="5"/>
      <c r="Y14" s="5" t="s">
        <v>185</v>
      </c>
      <c r="Z14" s="10" t="s">
        <v>337</v>
      </c>
      <c r="AA14" s="5" t="s">
        <v>756</v>
      </c>
      <c r="AB14" t="e">
        <f>COUNTIF([1]Sheet1!#REF!, "*"&amp; A14&amp;"*")</f>
        <v>#REF!</v>
      </c>
    </row>
    <row r="15" spans="1:28" x14ac:dyDescent="0.2">
      <c r="A15" s="5">
        <v>101011</v>
      </c>
      <c r="B15" s="5" t="s">
        <v>702</v>
      </c>
      <c r="C15" s="5">
        <v>157</v>
      </c>
      <c r="D15" s="5">
        <v>221</v>
      </c>
      <c r="E15" s="5">
        <v>33</v>
      </c>
      <c r="F15" s="5">
        <v>29</v>
      </c>
      <c r="G15" s="5">
        <v>77</v>
      </c>
      <c r="H15" s="5">
        <v>85</v>
      </c>
      <c r="I15" s="5">
        <v>85</v>
      </c>
      <c r="J15" s="5">
        <f>SUM(E15:I15)</f>
        <v>309</v>
      </c>
      <c r="K15" s="5">
        <v>310</v>
      </c>
      <c r="L15" s="5">
        <v>1</v>
      </c>
      <c r="M15" s="5" t="s">
        <v>705</v>
      </c>
      <c r="N15" s="5">
        <v>10</v>
      </c>
      <c r="O15" s="5">
        <v>17</v>
      </c>
      <c r="P15" s="5"/>
      <c r="Q15" s="5"/>
      <c r="R15" s="5">
        <f>MAX(25, INT(POWER(2.2,J15/45)))</f>
        <v>224</v>
      </c>
      <c r="S15" s="5">
        <v>0</v>
      </c>
      <c r="T15" s="5">
        <v>1</v>
      </c>
      <c r="U15" s="5" t="s">
        <v>298</v>
      </c>
      <c r="V15" s="5"/>
      <c r="W15" s="5"/>
      <c r="X15" s="5"/>
      <c r="Y15" s="5" t="s">
        <v>185</v>
      </c>
      <c r="Z15" s="10" t="s">
        <v>337</v>
      </c>
      <c r="AA15" s="5" t="s">
        <v>757</v>
      </c>
    </row>
    <row r="16" spans="1:28" x14ac:dyDescent="0.2">
      <c r="A16" s="5">
        <v>101012</v>
      </c>
      <c r="B16" s="5" t="s">
        <v>703</v>
      </c>
      <c r="C16" s="5">
        <v>160</v>
      </c>
      <c r="D16" s="5">
        <v>223</v>
      </c>
      <c r="E16" s="5">
        <v>54</v>
      </c>
      <c r="F16" s="5">
        <v>61</v>
      </c>
      <c r="G16" s="5">
        <v>32</v>
      </c>
      <c r="H16" s="5">
        <v>23</v>
      </c>
      <c r="I16" s="5">
        <v>23</v>
      </c>
      <c r="J16" s="5">
        <f>SUM(E16:I16)</f>
        <v>193</v>
      </c>
      <c r="K16" s="5">
        <v>310</v>
      </c>
      <c r="L16" s="5">
        <v>1</v>
      </c>
      <c r="M16" s="5" t="s">
        <v>705</v>
      </c>
      <c r="N16" s="5">
        <v>10</v>
      </c>
      <c r="O16" s="5">
        <v>17</v>
      </c>
      <c r="P16" s="5"/>
      <c r="Q16" s="5"/>
      <c r="R16" s="5">
        <f>MAX(25, INT(POWER(2.2,J16/45)))</f>
        <v>29</v>
      </c>
      <c r="S16" s="5">
        <v>0</v>
      </c>
      <c r="T16" s="5">
        <v>1</v>
      </c>
      <c r="U16" s="5" t="s">
        <v>298</v>
      </c>
      <c r="V16" s="5"/>
      <c r="W16" s="5"/>
      <c r="X16" s="5"/>
      <c r="Y16" s="5" t="s">
        <v>185</v>
      </c>
      <c r="Z16" s="10" t="s">
        <v>337</v>
      </c>
      <c r="AA16" s="5" t="s">
        <v>758</v>
      </c>
    </row>
    <row r="17" spans="1:28" x14ac:dyDescent="0.2">
      <c r="A17" s="5">
        <v>101013</v>
      </c>
      <c r="B17" s="5" t="s">
        <v>704</v>
      </c>
      <c r="C17" s="5">
        <v>178</v>
      </c>
      <c r="D17" s="5">
        <v>230</v>
      </c>
      <c r="E17" s="5">
        <v>76</v>
      </c>
      <c r="F17" s="5">
        <v>71</v>
      </c>
      <c r="G17" s="5">
        <v>63</v>
      </c>
      <c r="H17" s="5">
        <v>53</v>
      </c>
      <c r="I17" s="5">
        <v>69</v>
      </c>
      <c r="J17" s="5">
        <f>SUM(E17:I17)</f>
        <v>332</v>
      </c>
      <c r="K17" s="5">
        <v>310</v>
      </c>
      <c r="L17" s="5">
        <v>1</v>
      </c>
      <c r="M17" s="5" t="s">
        <v>705</v>
      </c>
      <c r="N17" s="5">
        <v>10</v>
      </c>
      <c r="O17" s="5">
        <v>17</v>
      </c>
      <c r="P17" s="5"/>
      <c r="Q17" s="5"/>
      <c r="R17" s="5">
        <f>MAX(25, INT(POWER(2.2,J17/45)))</f>
        <v>335</v>
      </c>
      <c r="S17" s="5">
        <v>0</v>
      </c>
      <c r="T17" s="5">
        <v>1</v>
      </c>
      <c r="U17" s="5" t="s">
        <v>298</v>
      </c>
      <c r="V17" s="5"/>
      <c r="W17" s="5"/>
      <c r="X17" s="5"/>
      <c r="Y17" s="5" t="s">
        <v>185</v>
      </c>
      <c r="Z17" s="10" t="s">
        <v>337</v>
      </c>
      <c r="AA17" s="5" t="s">
        <v>759</v>
      </c>
    </row>
    <row r="18" spans="1:28" x14ac:dyDescent="0.2">
      <c r="A18" s="13">
        <v>100002</v>
      </c>
      <c r="B18" s="13" t="s">
        <v>31</v>
      </c>
      <c r="C18" s="13">
        <v>155</v>
      </c>
      <c r="D18" s="13">
        <v>220</v>
      </c>
      <c r="E18" s="5">
        <v>98</v>
      </c>
      <c r="F18" s="5">
        <v>81</v>
      </c>
      <c r="G18" s="5">
        <v>91</v>
      </c>
      <c r="H18" s="5">
        <v>94</v>
      </c>
      <c r="I18" s="5">
        <v>96</v>
      </c>
      <c r="J18" s="5">
        <f>SUM(E18:I18)</f>
        <v>460</v>
      </c>
      <c r="K18" s="5">
        <v>240</v>
      </c>
      <c r="L18" s="5">
        <v>2</v>
      </c>
      <c r="M18" s="5" t="s">
        <v>725</v>
      </c>
      <c r="N18" s="5">
        <v>10</v>
      </c>
      <c r="O18" s="5">
        <v>17</v>
      </c>
      <c r="P18" s="5"/>
      <c r="Q18" s="5"/>
      <c r="R18" s="5">
        <v>0</v>
      </c>
      <c r="S18" s="5">
        <v>100</v>
      </c>
      <c r="T18" s="5">
        <v>1</v>
      </c>
      <c r="U18" s="5" t="s">
        <v>284</v>
      </c>
      <c r="V18" s="5"/>
      <c r="W18" s="5" t="s">
        <v>358</v>
      </c>
      <c r="X18" s="5"/>
      <c r="Y18" s="5" t="s">
        <v>184</v>
      </c>
      <c r="Z18" s="11" t="s">
        <v>71</v>
      </c>
      <c r="AA18" s="5" t="s">
        <v>404</v>
      </c>
    </row>
    <row r="19" spans="1:28" x14ac:dyDescent="0.2">
      <c r="A19" s="5">
        <v>102001</v>
      </c>
      <c r="B19" s="5" t="s">
        <v>37</v>
      </c>
      <c r="C19" s="5">
        <v>170</v>
      </c>
      <c r="D19" s="5">
        <v>207</v>
      </c>
      <c r="E19" s="5">
        <v>72</v>
      </c>
      <c r="F19" s="5">
        <v>43</v>
      </c>
      <c r="G19" s="5">
        <v>98</v>
      </c>
      <c r="H19" s="5">
        <v>78</v>
      </c>
      <c r="I19" s="5">
        <v>82</v>
      </c>
      <c r="J19" s="5">
        <f>SUM(E19:I19)</f>
        <v>373</v>
      </c>
      <c r="K19" s="5">
        <v>270</v>
      </c>
      <c r="L19" s="5">
        <v>2</v>
      </c>
      <c r="M19" s="5" t="s">
        <v>728</v>
      </c>
      <c r="N19" s="5">
        <v>10</v>
      </c>
      <c r="O19" s="5">
        <v>17</v>
      </c>
      <c r="P19" s="5">
        <v>15</v>
      </c>
      <c r="Q19" s="5"/>
      <c r="R19" s="5">
        <f>MAX(25, INT(POWER(2.2,J19/45)))</f>
        <v>689</v>
      </c>
      <c r="S19" s="5">
        <v>0</v>
      </c>
      <c r="T19" s="5">
        <v>3</v>
      </c>
      <c r="U19" s="5" t="s">
        <v>291</v>
      </c>
      <c r="V19" s="5"/>
      <c r="W19" s="5" t="s">
        <v>272</v>
      </c>
      <c r="X19" s="5"/>
      <c r="Y19" s="5" t="s">
        <v>188</v>
      </c>
      <c r="Z19" s="10" t="s">
        <v>161</v>
      </c>
      <c r="AA19" s="5" t="s">
        <v>448</v>
      </c>
      <c r="AB19" t="e">
        <f>COUNTIF([1]Sheet1!#REF!, "*"&amp; A19&amp;"*")</f>
        <v>#REF!</v>
      </c>
    </row>
    <row r="20" spans="1:28" x14ac:dyDescent="0.2">
      <c r="A20" s="5">
        <v>102002</v>
      </c>
      <c r="B20" s="5" t="s">
        <v>160</v>
      </c>
      <c r="C20" s="5">
        <v>155</v>
      </c>
      <c r="D20" s="5">
        <v>220</v>
      </c>
      <c r="E20" s="5">
        <v>91</v>
      </c>
      <c r="F20" s="5">
        <v>91</v>
      </c>
      <c r="G20" s="5">
        <v>57</v>
      </c>
      <c r="H20" s="5">
        <v>68</v>
      </c>
      <c r="I20" s="5">
        <v>80</v>
      </c>
      <c r="J20" s="5">
        <f>SUM(E20:I20)</f>
        <v>387</v>
      </c>
      <c r="K20" s="5">
        <v>305</v>
      </c>
      <c r="L20" s="5">
        <v>2</v>
      </c>
      <c r="M20" s="5" t="s">
        <v>725</v>
      </c>
      <c r="N20" s="5">
        <v>10</v>
      </c>
      <c r="O20" s="5">
        <v>17</v>
      </c>
      <c r="P20" s="5"/>
      <c r="Q20" s="5"/>
      <c r="R20" s="5">
        <f>MAX(25, INT(POWER(2.2,J20/45)))</f>
        <v>880</v>
      </c>
      <c r="S20" s="5">
        <v>0</v>
      </c>
      <c r="T20" s="5">
        <v>1</v>
      </c>
      <c r="U20" s="5" t="s">
        <v>286</v>
      </c>
      <c r="V20" s="5"/>
      <c r="W20" s="5" t="s">
        <v>273</v>
      </c>
      <c r="X20" s="5"/>
      <c r="Y20" s="5" t="s">
        <v>186</v>
      </c>
      <c r="Z20" s="10" t="s">
        <v>71</v>
      </c>
      <c r="AA20" s="5" t="s">
        <v>449</v>
      </c>
      <c r="AB20" t="e">
        <f>COUNTIF([1]Sheet1!#REF!, "*"&amp; A20&amp;"*")</f>
        <v>#REF!</v>
      </c>
    </row>
    <row r="21" spans="1:28" x14ac:dyDescent="0.2">
      <c r="A21" s="5">
        <v>102003</v>
      </c>
      <c r="B21" s="5" t="s">
        <v>86</v>
      </c>
      <c r="C21" s="5">
        <v>163</v>
      </c>
      <c r="D21" s="5">
        <v>212</v>
      </c>
      <c r="E21" s="5">
        <v>67</v>
      </c>
      <c r="F21" s="5">
        <v>47</v>
      </c>
      <c r="G21" s="5">
        <v>95</v>
      </c>
      <c r="H21" s="5">
        <v>100</v>
      </c>
      <c r="I21" s="5">
        <v>93</v>
      </c>
      <c r="J21" s="5">
        <f>SUM(E21:I21)</f>
        <v>402</v>
      </c>
      <c r="K21" s="5">
        <v>285</v>
      </c>
      <c r="L21" s="5">
        <v>2</v>
      </c>
      <c r="M21" s="5" t="s">
        <v>725</v>
      </c>
      <c r="N21" s="5">
        <v>10</v>
      </c>
      <c r="O21" s="5">
        <v>17</v>
      </c>
      <c r="P21" s="5">
        <v>18</v>
      </c>
      <c r="Q21" s="5"/>
      <c r="R21" s="5">
        <f>MAX(25, INT(POWER(2.2,J21/45)))</f>
        <v>1145</v>
      </c>
      <c r="S21" s="5">
        <v>0</v>
      </c>
      <c r="T21" s="5">
        <v>3</v>
      </c>
      <c r="U21" s="5" t="s">
        <v>292</v>
      </c>
      <c r="V21" s="5"/>
      <c r="W21" s="5" t="s">
        <v>274</v>
      </c>
      <c r="X21" s="5"/>
      <c r="Y21" s="5" t="s">
        <v>194</v>
      </c>
      <c r="Z21" s="10" t="s">
        <v>167</v>
      </c>
      <c r="AA21" s="5" t="s">
        <v>450</v>
      </c>
      <c r="AB21" t="e">
        <f>COUNTIF([1]Sheet1!#REF!, "*"&amp; A21&amp;"*")</f>
        <v>#REF!</v>
      </c>
    </row>
    <row r="22" spans="1:28" x14ac:dyDescent="0.2">
      <c r="A22" s="5">
        <v>102004</v>
      </c>
      <c r="B22" s="5" t="s">
        <v>236</v>
      </c>
      <c r="C22" s="5">
        <v>169</v>
      </c>
      <c r="D22" s="5">
        <v>227</v>
      </c>
      <c r="E22" s="5">
        <v>65</v>
      </c>
      <c r="F22" s="5">
        <v>96</v>
      </c>
      <c r="G22" s="5">
        <v>36</v>
      </c>
      <c r="H22" s="5">
        <v>20</v>
      </c>
      <c r="I22" s="5">
        <v>59</v>
      </c>
      <c r="J22" s="5">
        <f>SUM(E22:I22)</f>
        <v>276</v>
      </c>
      <c r="K22" s="5">
        <v>390</v>
      </c>
      <c r="L22" s="5">
        <v>2</v>
      </c>
      <c r="M22" s="5" t="s">
        <v>725</v>
      </c>
      <c r="N22" s="5">
        <v>10</v>
      </c>
      <c r="O22" s="5">
        <v>17</v>
      </c>
      <c r="P22" s="5"/>
      <c r="Q22" s="5"/>
      <c r="R22" s="5">
        <f>MAX(25, INT(POWER(2.2,J22/45)))</f>
        <v>125</v>
      </c>
      <c r="S22" s="5">
        <v>0</v>
      </c>
      <c r="T22" s="5">
        <v>1</v>
      </c>
      <c r="U22" s="5" t="s">
        <v>285</v>
      </c>
      <c r="V22" s="5"/>
      <c r="W22" s="5" t="s">
        <v>371</v>
      </c>
      <c r="X22" s="5"/>
      <c r="Y22" s="5" t="s">
        <v>311</v>
      </c>
      <c r="Z22" s="10" t="s">
        <v>71</v>
      </c>
      <c r="AA22" s="5" t="s">
        <v>452</v>
      </c>
      <c r="AB22" t="e">
        <f>COUNTIF([1]Sheet1!#REF!, "*"&amp; A22&amp;"*")</f>
        <v>#REF!</v>
      </c>
    </row>
    <row r="23" spans="1:28" x14ac:dyDescent="0.2">
      <c r="A23" s="5">
        <v>102005</v>
      </c>
      <c r="B23" s="5" t="s">
        <v>25</v>
      </c>
      <c r="C23" s="5">
        <v>155</v>
      </c>
      <c r="D23" s="5">
        <v>219</v>
      </c>
      <c r="E23" s="5">
        <v>90</v>
      </c>
      <c r="F23" s="5">
        <v>89</v>
      </c>
      <c r="G23" s="5">
        <v>54</v>
      </c>
      <c r="H23" s="5">
        <v>40</v>
      </c>
      <c r="I23" s="5">
        <v>80</v>
      </c>
      <c r="J23" s="5">
        <f>SUM(E23:I23)</f>
        <v>353</v>
      </c>
      <c r="K23" s="5">
        <v>230</v>
      </c>
      <c r="L23" s="5">
        <v>2</v>
      </c>
      <c r="M23" s="5" t="s">
        <v>729</v>
      </c>
      <c r="N23" s="5">
        <v>10</v>
      </c>
      <c r="O23" s="5">
        <v>17</v>
      </c>
      <c r="P23" s="5">
        <v>22</v>
      </c>
      <c r="Q23" s="5">
        <v>1.5</v>
      </c>
      <c r="R23" s="5">
        <f>MAX(25, INT(POWER(2.2,J23/45)))</f>
        <v>485</v>
      </c>
      <c r="S23" s="5">
        <v>0</v>
      </c>
      <c r="T23" s="5">
        <v>3</v>
      </c>
      <c r="U23" s="5" t="s">
        <v>294</v>
      </c>
      <c r="V23" s="5"/>
      <c r="W23" s="5" t="s">
        <v>266</v>
      </c>
      <c r="X23" s="5"/>
      <c r="Y23" s="5" t="s">
        <v>187</v>
      </c>
      <c r="Z23" s="10" t="s">
        <v>166</v>
      </c>
      <c r="AA23" s="5" t="s">
        <v>453</v>
      </c>
      <c r="AB23" t="e">
        <f>COUNTIF([1]Sheet1!#REF!, "*"&amp; A23&amp;"*")</f>
        <v>#REF!</v>
      </c>
    </row>
    <row r="24" spans="1:28" x14ac:dyDescent="0.2">
      <c r="A24" s="5">
        <v>102006</v>
      </c>
      <c r="B24" s="5" t="s">
        <v>33</v>
      </c>
      <c r="C24" s="5">
        <v>155</v>
      </c>
      <c r="D24" s="5">
        <v>197</v>
      </c>
      <c r="E24" s="5">
        <v>59</v>
      </c>
      <c r="F24" s="5">
        <v>95</v>
      </c>
      <c r="G24" s="5">
        <v>43</v>
      </c>
      <c r="H24" s="5">
        <v>38</v>
      </c>
      <c r="I24" s="5">
        <v>78</v>
      </c>
      <c r="J24" s="5">
        <f>SUM(E24:I24)</f>
        <v>313</v>
      </c>
      <c r="K24" s="5">
        <v>415</v>
      </c>
      <c r="L24" s="5">
        <v>2</v>
      </c>
      <c r="M24" s="5" t="s">
        <v>725</v>
      </c>
      <c r="N24" s="5">
        <v>10</v>
      </c>
      <c r="O24" s="5">
        <v>17</v>
      </c>
      <c r="P24" s="5"/>
      <c r="Q24" s="5"/>
      <c r="R24" s="5">
        <f>MAX(25, INT(POWER(2.2,J24/45)))</f>
        <v>240</v>
      </c>
      <c r="S24" s="5">
        <v>0</v>
      </c>
      <c r="T24" s="5">
        <v>1</v>
      </c>
      <c r="U24" s="5" t="s">
        <v>285</v>
      </c>
      <c r="V24" s="5"/>
      <c r="W24" s="5" t="s">
        <v>267</v>
      </c>
      <c r="X24" s="5"/>
      <c r="Y24" s="5" t="s">
        <v>185</v>
      </c>
      <c r="Z24" s="10" t="s">
        <v>71</v>
      </c>
      <c r="AA24" s="5" t="s">
        <v>454</v>
      </c>
      <c r="AB24" t="e">
        <f>COUNTIF([1]Sheet1!#REF!, "*"&amp; A24&amp;"*")</f>
        <v>#REF!</v>
      </c>
    </row>
    <row r="25" spans="1:28" x14ac:dyDescent="0.2">
      <c r="A25" s="5">
        <v>102007</v>
      </c>
      <c r="B25" s="5" t="s">
        <v>51</v>
      </c>
      <c r="C25" s="5">
        <v>155</v>
      </c>
      <c r="D25" s="5">
        <v>227</v>
      </c>
      <c r="E25" s="5">
        <v>90</v>
      </c>
      <c r="F25" s="5">
        <v>91</v>
      </c>
      <c r="G25" s="5">
        <v>74</v>
      </c>
      <c r="H25" s="5">
        <v>68</v>
      </c>
      <c r="I25" s="5">
        <v>71</v>
      </c>
      <c r="J25" s="5">
        <f>SUM(E25:I25)</f>
        <v>394</v>
      </c>
      <c r="K25" s="5">
        <v>215</v>
      </c>
      <c r="L25" s="5">
        <v>2</v>
      </c>
      <c r="M25" s="5" t="s">
        <v>730</v>
      </c>
      <c r="N25" s="5">
        <v>10</v>
      </c>
      <c r="O25" s="5">
        <v>17</v>
      </c>
      <c r="P25" s="5">
        <v>22</v>
      </c>
      <c r="Q25" s="5">
        <v>1.5</v>
      </c>
      <c r="R25" s="5">
        <f>MAX(25, INT(POWER(2.2,J25/45)))</f>
        <v>995</v>
      </c>
      <c r="S25" s="5">
        <v>0</v>
      </c>
      <c r="T25" s="5">
        <v>3</v>
      </c>
      <c r="U25" s="5" t="s">
        <v>294</v>
      </c>
      <c r="V25" s="5"/>
      <c r="W25" s="5" t="s">
        <v>300</v>
      </c>
      <c r="X25" s="5"/>
      <c r="Y25" s="5" t="s">
        <v>187</v>
      </c>
      <c r="Z25" s="10" t="s">
        <v>383</v>
      </c>
      <c r="AA25" s="5" t="s">
        <v>456</v>
      </c>
      <c r="AB25" t="e">
        <f>COUNTIF([1]Sheet1!#REF!, "*"&amp; A25&amp;"*")</f>
        <v>#REF!</v>
      </c>
    </row>
    <row r="26" spans="1:28" x14ac:dyDescent="0.2">
      <c r="A26" s="5">
        <v>102008</v>
      </c>
      <c r="B26" s="5" t="s">
        <v>87</v>
      </c>
      <c r="C26" s="5">
        <v>157</v>
      </c>
      <c r="D26" s="5">
        <v>214</v>
      </c>
      <c r="E26" s="5">
        <v>63</v>
      </c>
      <c r="F26" s="5">
        <v>53</v>
      </c>
      <c r="G26" s="5">
        <v>93</v>
      </c>
      <c r="H26" s="5">
        <v>91</v>
      </c>
      <c r="I26" s="5">
        <v>73</v>
      </c>
      <c r="J26" s="5">
        <f>SUM(E26:I26)</f>
        <v>373</v>
      </c>
      <c r="K26" s="5">
        <v>270</v>
      </c>
      <c r="L26" s="5">
        <v>2</v>
      </c>
      <c r="M26" s="5" t="s">
        <v>725</v>
      </c>
      <c r="N26" s="5">
        <v>10</v>
      </c>
      <c r="O26" s="5">
        <v>17</v>
      </c>
      <c r="P26" s="5">
        <v>15</v>
      </c>
      <c r="Q26" s="5"/>
      <c r="R26" s="5">
        <f>MAX(25, INT(POWER(2.2,J26/45)))</f>
        <v>689</v>
      </c>
      <c r="S26" s="5">
        <v>0</v>
      </c>
      <c r="T26" s="5">
        <v>3</v>
      </c>
      <c r="U26" s="5" t="s">
        <v>291</v>
      </c>
      <c r="V26" s="5"/>
      <c r="W26" s="5" t="s">
        <v>262</v>
      </c>
      <c r="X26" s="5" t="s">
        <v>379</v>
      </c>
      <c r="Y26" s="5" t="s">
        <v>188</v>
      </c>
      <c r="Z26" s="10" t="s">
        <v>168</v>
      </c>
      <c r="AA26" s="5" t="s">
        <v>457</v>
      </c>
      <c r="AB26" t="e">
        <f>COUNTIF([1]Sheet1!#REF!, "*"&amp; A26&amp;"*")</f>
        <v>#REF!</v>
      </c>
    </row>
    <row r="27" spans="1:28" x14ac:dyDescent="0.2">
      <c r="A27" s="5">
        <v>102009</v>
      </c>
      <c r="B27" s="5" t="s">
        <v>24</v>
      </c>
      <c r="C27" s="5">
        <v>158</v>
      </c>
      <c r="D27" s="5">
        <v>219</v>
      </c>
      <c r="E27" s="5">
        <v>80</v>
      </c>
      <c r="F27" s="5">
        <v>75</v>
      </c>
      <c r="G27" s="5">
        <v>68</v>
      </c>
      <c r="H27" s="5">
        <v>55</v>
      </c>
      <c r="I27" s="5">
        <v>51</v>
      </c>
      <c r="J27" s="5">
        <f>SUM(E27:I27)</f>
        <v>329</v>
      </c>
      <c r="K27" s="5">
        <v>280</v>
      </c>
      <c r="L27" s="5">
        <v>2</v>
      </c>
      <c r="M27" s="5" t="s">
        <v>730</v>
      </c>
      <c r="N27" s="5">
        <v>10</v>
      </c>
      <c r="O27" s="5">
        <v>17</v>
      </c>
      <c r="P27" s="5"/>
      <c r="Q27" s="5"/>
      <c r="R27" s="5">
        <f>MAX(25, INT(POWER(2.2,J27/45)))</f>
        <v>318</v>
      </c>
      <c r="S27" s="5">
        <v>0</v>
      </c>
      <c r="T27" s="5">
        <v>1</v>
      </c>
      <c r="U27" s="5" t="s">
        <v>287</v>
      </c>
      <c r="V27" s="5"/>
      <c r="W27" s="5" t="s">
        <v>265</v>
      </c>
      <c r="X27" s="5" t="s">
        <v>390</v>
      </c>
      <c r="Y27" s="5" t="s">
        <v>185</v>
      </c>
      <c r="Z27" s="10" t="s">
        <v>71</v>
      </c>
      <c r="AA27" s="5" t="s">
        <v>458</v>
      </c>
      <c r="AB27" t="e">
        <f>COUNTIF([1]Sheet1!#REF!, "*"&amp; A27&amp;"*")</f>
        <v>#REF!</v>
      </c>
    </row>
    <row r="28" spans="1:28" x14ac:dyDescent="0.2">
      <c r="A28" s="5">
        <v>102010</v>
      </c>
      <c r="B28" s="5" t="s">
        <v>27</v>
      </c>
      <c r="C28" s="5">
        <v>168</v>
      </c>
      <c r="D28" s="5">
        <v>223</v>
      </c>
      <c r="E28" s="5">
        <v>90</v>
      </c>
      <c r="F28" s="5">
        <v>86</v>
      </c>
      <c r="G28" s="5">
        <v>62</v>
      </c>
      <c r="H28" s="5">
        <v>46</v>
      </c>
      <c r="I28" s="5">
        <v>76</v>
      </c>
      <c r="J28" s="5">
        <f>SUM(E28:I28)</f>
        <v>360</v>
      </c>
      <c r="K28" s="5">
        <v>300</v>
      </c>
      <c r="L28" s="5">
        <v>2</v>
      </c>
      <c r="M28" s="5" t="s">
        <v>728</v>
      </c>
      <c r="N28" s="5">
        <v>10</v>
      </c>
      <c r="O28" s="5">
        <v>17</v>
      </c>
      <c r="P28" s="5"/>
      <c r="Q28" s="5"/>
      <c r="R28" s="5">
        <f>MAX(25, INT(POWER(2.2,J28/45)))</f>
        <v>548</v>
      </c>
      <c r="S28" s="5">
        <v>0</v>
      </c>
      <c r="T28" s="5">
        <v>1</v>
      </c>
      <c r="U28" s="5" t="s">
        <v>288</v>
      </c>
      <c r="V28" s="5"/>
      <c r="W28" s="5" t="s">
        <v>265</v>
      </c>
      <c r="X28" s="5"/>
      <c r="Y28" s="5" t="s">
        <v>186</v>
      </c>
      <c r="Z28" s="10" t="s">
        <v>71</v>
      </c>
      <c r="AA28" s="5" t="s">
        <v>459</v>
      </c>
      <c r="AB28" t="e">
        <f>COUNTIF([1]Sheet1!#REF!, "*"&amp; A28&amp;"*")</f>
        <v>#REF!</v>
      </c>
    </row>
    <row r="29" spans="1:28" x14ac:dyDescent="0.2">
      <c r="A29" s="5">
        <v>102011</v>
      </c>
      <c r="B29" s="5" t="s">
        <v>32</v>
      </c>
      <c r="C29" s="5">
        <v>169</v>
      </c>
      <c r="D29" s="5">
        <v>232</v>
      </c>
      <c r="E29" s="5">
        <v>82</v>
      </c>
      <c r="F29" s="5">
        <v>83</v>
      </c>
      <c r="G29" s="5">
        <v>44</v>
      </c>
      <c r="H29" s="5">
        <v>35</v>
      </c>
      <c r="I29" s="5">
        <v>54</v>
      </c>
      <c r="J29" s="5">
        <f>SUM(E29:I29)</f>
        <v>298</v>
      </c>
      <c r="K29" s="5">
        <v>310</v>
      </c>
      <c r="L29" s="5">
        <v>2</v>
      </c>
      <c r="M29" s="5" t="s">
        <v>729</v>
      </c>
      <c r="N29" s="5">
        <v>10</v>
      </c>
      <c r="O29" s="5">
        <v>17</v>
      </c>
      <c r="P29" s="5"/>
      <c r="Q29" s="5"/>
      <c r="R29" s="5">
        <f>MAX(25, INT(POWER(2.2,J29/45)))</f>
        <v>185</v>
      </c>
      <c r="S29" s="5">
        <v>0</v>
      </c>
      <c r="T29" s="5">
        <v>1</v>
      </c>
      <c r="U29" s="5" t="s">
        <v>288</v>
      </c>
      <c r="V29" s="5"/>
      <c r="W29" s="5" t="s">
        <v>269</v>
      </c>
      <c r="X29" s="5"/>
      <c r="Y29" s="5" t="s">
        <v>186</v>
      </c>
      <c r="Z29" s="10" t="s">
        <v>71</v>
      </c>
      <c r="AA29" s="5" t="s">
        <v>460</v>
      </c>
      <c r="AB29" t="e">
        <f>COUNTIF([1]Sheet1!#REF!, "*"&amp; A29&amp;"*")</f>
        <v>#REF!</v>
      </c>
    </row>
    <row r="30" spans="1:28" x14ac:dyDescent="0.2">
      <c r="A30" s="5">
        <v>102012</v>
      </c>
      <c r="B30" s="5" t="s">
        <v>35</v>
      </c>
      <c r="C30" s="5">
        <v>158</v>
      </c>
      <c r="D30" s="5">
        <v>218</v>
      </c>
      <c r="E30" s="5">
        <v>80</v>
      </c>
      <c r="F30" s="5">
        <v>84</v>
      </c>
      <c r="G30" s="5">
        <v>50</v>
      </c>
      <c r="H30" s="5">
        <v>49</v>
      </c>
      <c r="I30" s="5">
        <v>63</v>
      </c>
      <c r="J30" s="5">
        <f>SUM(E30:I30)</f>
        <v>326</v>
      </c>
      <c r="K30" s="5">
        <v>280</v>
      </c>
      <c r="L30" s="5">
        <v>2</v>
      </c>
      <c r="M30" s="5" t="s">
        <v>731</v>
      </c>
      <c r="N30" s="5">
        <v>10</v>
      </c>
      <c r="O30" s="5">
        <v>17</v>
      </c>
      <c r="P30" s="5"/>
      <c r="Q30" s="5"/>
      <c r="R30" s="5">
        <f>MAX(25, INT(POWER(2.2,J30/45)))</f>
        <v>302</v>
      </c>
      <c r="S30" s="5">
        <v>0</v>
      </c>
      <c r="T30" s="5">
        <v>1</v>
      </c>
      <c r="U30" s="5" t="s">
        <v>287</v>
      </c>
      <c r="V30" s="5"/>
      <c r="W30" s="5" t="s">
        <v>328</v>
      </c>
      <c r="X30" s="5"/>
      <c r="Y30" s="5" t="s">
        <v>186</v>
      </c>
      <c r="Z30" s="10" t="s">
        <v>71</v>
      </c>
      <c r="AA30" s="5" t="s">
        <v>462</v>
      </c>
      <c r="AB30" t="e">
        <f>COUNTIF([1]Sheet1!#REF!, "*"&amp; A30&amp;"*")</f>
        <v>#REF!</v>
      </c>
    </row>
    <row r="31" spans="1:28" x14ac:dyDescent="0.2">
      <c r="A31" s="5">
        <v>102013</v>
      </c>
      <c r="B31" s="5" t="s">
        <v>237</v>
      </c>
      <c r="C31" s="5">
        <v>170</v>
      </c>
      <c r="D31" s="5">
        <v>226</v>
      </c>
      <c r="E31" s="5">
        <v>80</v>
      </c>
      <c r="F31" s="5">
        <v>82</v>
      </c>
      <c r="G31" s="5">
        <v>65</v>
      </c>
      <c r="H31" s="5">
        <v>75</v>
      </c>
      <c r="I31" s="5">
        <v>78</v>
      </c>
      <c r="J31" s="5">
        <f>SUM(E31:I31)</f>
        <v>380</v>
      </c>
      <c r="K31" s="5">
        <v>335</v>
      </c>
      <c r="L31" s="5">
        <v>2</v>
      </c>
      <c r="M31" s="5" t="s">
        <v>731</v>
      </c>
      <c r="N31" s="5">
        <v>10</v>
      </c>
      <c r="O31" s="5">
        <v>17</v>
      </c>
      <c r="P31" s="5"/>
      <c r="Q31" s="5"/>
      <c r="R31" s="5">
        <f>MAX(25, INT(POWER(2.2,J31/45)))</f>
        <v>779</v>
      </c>
      <c r="S31" s="5">
        <v>0</v>
      </c>
      <c r="T31" s="5">
        <v>1</v>
      </c>
      <c r="U31" s="5" t="s">
        <v>287</v>
      </c>
      <c r="V31" s="5"/>
      <c r="W31" s="5" t="s">
        <v>352</v>
      </c>
      <c r="X31" s="5" t="s">
        <v>368</v>
      </c>
      <c r="Y31" s="5" t="s">
        <v>312</v>
      </c>
      <c r="Z31" s="10" t="s">
        <v>71</v>
      </c>
      <c r="AA31" s="5" t="s">
        <v>463</v>
      </c>
      <c r="AB31" t="e">
        <f>COUNTIF([1]Sheet1!#REF!, "*"&amp; A31&amp;"*")</f>
        <v>#REF!</v>
      </c>
    </row>
    <row r="32" spans="1:28" x14ac:dyDescent="0.2">
      <c r="A32" s="5">
        <v>102014</v>
      </c>
      <c r="B32" s="5" t="s">
        <v>38</v>
      </c>
      <c r="C32" s="5">
        <v>170</v>
      </c>
      <c r="D32" s="5">
        <v>228</v>
      </c>
      <c r="E32" s="5">
        <v>73</v>
      </c>
      <c r="F32" s="5">
        <v>73</v>
      </c>
      <c r="G32" s="5">
        <v>58</v>
      </c>
      <c r="H32" s="5">
        <v>56</v>
      </c>
      <c r="I32" s="5">
        <v>67</v>
      </c>
      <c r="J32" s="5">
        <f>SUM(E32:I32)</f>
        <v>327</v>
      </c>
      <c r="K32" s="5">
        <v>250</v>
      </c>
      <c r="L32" s="5">
        <v>2</v>
      </c>
      <c r="M32" s="5" t="s">
        <v>728</v>
      </c>
      <c r="N32" s="5">
        <v>10</v>
      </c>
      <c r="O32" s="5">
        <v>17</v>
      </c>
      <c r="P32" s="5">
        <v>22</v>
      </c>
      <c r="Q32" s="5">
        <v>1.5</v>
      </c>
      <c r="R32" s="5">
        <f>MAX(25, INT(POWER(2.2,J32/45)))</f>
        <v>307</v>
      </c>
      <c r="S32" s="5">
        <v>0</v>
      </c>
      <c r="T32" s="5">
        <v>3</v>
      </c>
      <c r="U32" s="5" t="s">
        <v>294</v>
      </c>
      <c r="V32" s="5"/>
      <c r="W32" s="5"/>
      <c r="X32" s="5"/>
      <c r="Y32" s="5" t="s">
        <v>187</v>
      </c>
      <c r="Z32" s="10" t="s">
        <v>166</v>
      </c>
      <c r="AA32" s="5" t="s">
        <v>464</v>
      </c>
      <c r="AB32" t="e">
        <f>COUNTIF([1]Sheet1!#REF!, "*"&amp; A32&amp;"*")</f>
        <v>#REF!</v>
      </c>
    </row>
    <row r="33" spans="1:28" x14ac:dyDescent="0.2">
      <c r="A33" s="5">
        <v>102015</v>
      </c>
      <c r="B33" s="5" t="s">
        <v>77</v>
      </c>
      <c r="C33" s="5">
        <v>176</v>
      </c>
      <c r="D33" s="5">
        <v>228</v>
      </c>
      <c r="E33" s="5">
        <v>87</v>
      </c>
      <c r="F33" s="5">
        <v>79</v>
      </c>
      <c r="G33" s="5">
        <v>74</v>
      </c>
      <c r="H33" s="5">
        <v>59</v>
      </c>
      <c r="I33" s="5">
        <v>69</v>
      </c>
      <c r="J33" s="5">
        <f>SUM(E33:I33)</f>
        <v>368</v>
      </c>
      <c r="K33" s="5">
        <v>300</v>
      </c>
      <c r="L33" s="5">
        <v>2</v>
      </c>
      <c r="M33" s="5" t="s">
        <v>731</v>
      </c>
      <c r="N33" s="5">
        <v>10</v>
      </c>
      <c r="O33" s="5">
        <v>17</v>
      </c>
      <c r="P33" s="5"/>
      <c r="Q33" s="5"/>
      <c r="R33" s="5">
        <f>MAX(25, INT(POWER(2.2,J33/45)))</f>
        <v>631</v>
      </c>
      <c r="S33" s="5">
        <v>0</v>
      </c>
      <c r="T33" s="5">
        <v>1</v>
      </c>
      <c r="U33" s="5" t="s">
        <v>288</v>
      </c>
      <c r="V33" s="5"/>
      <c r="W33" s="5" t="s">
        <v>393</v>
      </c>
      <c r="X33" s="5"/>
      <c r="Y33" s="5" t="s">
        <v>185</v>
      </c>
      <c r="Z33" s="10" t="s">
        <v>71</v>
      </c>
      <c r="AA33" s="5" t="s">
        <v>467</v>
      </c>
      <c r="AB33" t="e">
        <f>COUNTIF([1]Sheet1!#REF!, "*"&amp; A33&amp;"*")</f>
        <v>#REF!</v>
      </c>
    </row>
    <row r="34" spans="1:28" x14ac:dyDescent="0.2">
      <c r="A34" s="5">
        <v>102016</v>
      </c>
      <c r="B34" s="5" t="s">
        <v>79</v>
      </c>
      <c r="C34" s="5">
        <v>141</v>
      </c>
      <c r="D34" s="5">
        <v>220</v>
      </c>
      <c r="E34" s="5">
        <v>63</v>
      </c>
      <c r="F34" s="5">
        <v>54</v>
      </c>
      <c r="G34" s="5">
        <v>87</v>
      </c>
      <c r="H34" s="5">
        <v>79</v>
      </c>
      <c r="I34" s="5">
        <v>56</v>
      </c>
      <c r="J34" s="5">
        <f>SUM(E34:I34)</f>
        <v>339</v>
      </c>
      <c r="K34" s="5">
        <v>240</v>
      </c>
      <c r="L34" s="5">
        <v>2</v>
      </c>
      <c r="M34" s="5" t="s">
        <v>726</v>
      </c>
      <c r="N34" s="5">
        <v>10</v>
      </c>
      <c r="O34" s="5">
        <v>17</v>
      </c>
      <c r="P34" s="5">
        <v>15</v>
      </c>
      <c r="Q34" s="5"/>
      <c r="R34" s="5">
        <f>MAX(25, INT(POWER(2.2,J34/45)))</f>
        <v>379</v>
      </c>
      <c r="S34" s="5">
        <v>0</v>
      </c>
      <c r="T34" s="5">
        <v>3</v>
      </c>
      <c r="U34" s="5" t="s">
        <v>291</v>
      </c>
      <c r="V34" s="5"/>
      <c r="W34" s="5" t="s">
        <v>359</v>
      </c>
      <c r="X34" s="5" t="s">
        <v>369</v>
      </c>
      <c r="Y34" s="5" t="s">
        <v>188</v>
      </c>
      <c r="Z34" s="10" t="s">
        <v>70</v>
      </c>
      <c r="AA34" s="5" t="s">
        <v>469</v>
      </c>
      <c r="AB34" t="e">
        <f>COUNTIF([1]Sheet1!#REF!, "*"&amp; A34&amp;"*")</f>
        <v>#REF!</v>
      </c>
    </row>
    <row r="35" spans="1:28" x14ac:dyDescent="0.2">
      <c r="A35" s="5">
        <v>102017</v>
      </c>
      <c r="B35" s="5" t="s">
        <v>80</v>
      </c>
      <c r="C35" s="5">
        <v>175</v>
      </c>
      <c r="D35" s="5">
        <v>219</v>
      </c>
      <c r="E35" s="5">
        <v>10</v>
      </c>
      <c r="F35" s="5">
        <v>4</v>
      </c>
      <c r="G35" s="5">
        <v>83</v>
      </c>
      <c r="H35" s="5">
        <v>80</v>
      </c>
      <c r="I35" s="5">
        <v>43</v>
      </c>
      <c r="J35" s="5">
        <f>SUM(E35:I35)</f>
        <v>220</v>
      </c>
      <c r="K35" s="5">
        <v>260</v>
      </c>
      <c r="L35" s="5">
        <v>2</v>
      </c>
      <c r="M35" s="5" t="s">
        <v>729</v>
      </c>
      <c r="N35" s="5">
        <v>10</v>
      </c>
      <c r="O35" s="5">
        <v>17</v>
      </c>
      <c r="P35" s="5">
        <v>18</v>
      </c>
      <c r="Q35" s="5"/>
      <c r="R35" s="5">
        <f>MAX(25, INT(POWER(2.2,J35/45)))</f>
        <v>47</v>
      </c>
      <c r="S35" s="5">
        <v>0</v>
      </c>
      <c r="T35" s="5">
        <v>3</v>
      </c>
      <c r="U35" s="5" t="s">
        <v>292</v>
      </c>
      <c r="V35" s="5"/>
      <c r="W35" s="5" t="s">
        <v>376</v>
      </c>
      <c r="Y35" s="5" t="s">
        <v>194</v>
      </c>
      <c r="Z35" s="10" t="s">
        <v>334</v>
      </c>
      <c r="AA35" s="5" t="s">
        <v>470</v>
      </c>
      <c r="AB35" t="e">
        <f>COUNTIF([1]Sheet1!#REF!, "*"&amp; A35&amp;"*")</f>
        <v>#REF!</v>
      </c>
    </row>
    <row r="36" spans="1:28" x14ac:dyDescent="0.2">
      <c r="A36" s="5">
        <v>102018</v>
      </c>
      <c r="B36" s="5" t="s">
        <v>231</v>
      </c>
      <c r="C36" s="5">
        <v>175</v>
      </c>
      <c r="D36" s="5">
        <v>220</v>
      </c>
      <c r="E36" s="5">
        <v>71</v>
      </c>
      <c r="F36" s="5">
        <v>77</v>
      </c>
      <c r="G36" s="5">
        <v>38</v>
      </c>
      <c r="H36" s="5">
        <v>40</v>
      </c>
      <c r="I36" s="5">
        <v>45</v>
      </c>
      <c r="J36" s="5">
        <f>SUM(E36:I36)</f>
        <v>271</v>
      </c>
      <c r="K36" s="5">
        <v>330</v>
      </c>
      <c r="L36" s="5">
        <v>2</v>
      </c>
      <c r="M36" s="5" t="s">
        <v>728</v>
      </c>
      <c r="N36" s="5">
        <v>10</v>
      </c>
      <c r="O36" s="5">
        <v>17</v>
      </c>
      <c r="P36" s="5"/>
      <c r="Q36" s="5"/>
      <c r="R36" s="5">
        <f>MAX(25, INT(POWER(2.2,J36/45)))</f>
        <v>115</v>
      </c>
      <c r="S36" s="5">
        <v>0</v>
      </c>
      <c r="T36" s="5">
        <v>1</v>
      </c>
      <c r="U36" s="5" t="s">
        <v>297</v>
      </c>
      <c r="V36" s="5"/>
      <c r="W36" s="5" t="s">
        <v>353</v>
      </c>
      <c r="Y36" s="5" t="s">
        <v>307</v>
      </c>
      <c r="Z36" s="10" t="s">
        <v>71</v>
      </c>
      <c r="AA36" s="5" t="s">
        <v>471</v>
      </c>
      <c r="AB36" t="e">
        <f>COUNTIF([1]Sheet1!#REF!, "*"&amp; A36&amp;"*")</f>
        <v>#REF!</v>
      </c>
    </row>
    <row r="37" spans="1:28" x14ac:dyDescent="0.2">
      <c r="A37" s="5">
        <v>102019</v>
      </c>
      <c r="B37" s="5" t="s">
        <v>83</v>
      </c>
      <c r="C37" s="5">
        <v>165</v>
      </c>
      <c r="D37" s="5">
        <v>237</v>
      </c>
      <c r="E37" s="5">
        <v>65</v>
      </c>
      <c r="F37" s="5">
        <v>45</v>
      </c>
      <c r="G37" s="5">
        <v>74</v>
      </c>
      <c r="H37" s="5">
        <v>98</v>
      </c>
      <c r="I37" s="5">
        <v>73</v>
      </c>
      <c r="J37" s="5">
        <f>SUM(E37:I37)</f>
        <v>355</v>
      </c>
      <c r="K37" s="5">
        <v>270</v>
      </c>
      <c r="L37" s="5">
        <v>2</v>
      </c>
      <c r="M37" s="5" t="s">
        <v>725</v>
      </c>
      <c r="N37" s="5">
        <v>10</v>
      </c>
      <c r="O37" s="5">
        <v>17</v>
      </c>
      <c r="P37" s="5">
        <v>15</v>
      </c>
      <c r="Q37" s="5"/>
      <c r="R37" s="5">
        <f>MAX(25, INT(POWER(2.2,J37/45)))</f>
        <v>502</v>
      </c>
      <c r="S37" s="5">
        <v>0</v>
      </c>
      <c r="T37" s="5">
        <v>3</v>
      </c>
      <c r="U37" s="5" t="s">
        <v>293</v>
      </c>
      <c r="V37" s="5"/>
      <c r="W37" s="5" t="s">
        <v>326</v>
      </c>
      <c r="X37" s="5" t="s">
        <v>379</v>
      </c>
      <c r="Y37" s="5" t="s">
        <v>194</v>
      </c>
      <c r="Z37" s="10" t="s">
        <v>332</v>
      </c>
      <c r="AA37" s="5" t="s">
        <v>474</v>
      </c>
      <c r="AB37" t="e">
        <f>COUNTIF([1]Sheet1!#REF!, "*"&amp; A37&amp;"*")</f>
        <v>#REF!</v>
      </c>
    </row>
    <row r="38" spans="1:28" x14ac:dyDescent="0.2">
      <c r="A38" s="5">
        <v>102020</v>
      </c>
      <c r="B38" s="5" t="s">
        <v>84</v>
      </c>
      <c r="C38" s="5">
        <v>174</v>
      </c>
      <c r="D38" s="5">
        <v>215</v>
      </c>
      <c r="E38" s="5">
        <v>74</v>
      </c>
      <c r="F38" s="5">
        <v>73</v>
      </c>
      <c r="G38" s="5">
        <v>79</v>
      </c>
      <c r="H38" s="5">
        <v>74</v>
      </c>
      <c r="I38" s="5">
        <v>65</v>
      </c>
      <c r="J38" s="5">
        <f>SUM(E38:I38)</f>
        <v>365</v>
      </c>
      <c r="K38" s="5">
        <v>300</v>
      </c>
      <c r="L38" s="5">
        <v>2</v>
      </c>
      <c r="M38" s="5" t="s">
        <v>728</v>
      </c>
      <c r="N38" s="5">
        <v>10</v>
      </c>
      <c r="O38" s="5">
        <v>17</v>
      </c>
      <c r="P38" s="5"/>
      <c r="Q38" s="5"/>
      <c r="R38" s="5">
        <f>MAX(25, INT(POWER(2.2,J38/45)))</f>
        <v>599</v>
      </c>
      <c r="S38" s="5">
        <v>0</v>
      </c>
      <c r="T38" s="5">
        <v>1</v>
      </c>
      <c r="U38" s="5" t="s">
        <v>288</v>
      </c>
      <c r="V38" s="5"/>
      <c r="W38" s="5" t="s">
        <v>263</v>
      </c>
      <c r="X38" s="5" t="s">
        <v>393</v>
      </c>
      <c r="Y38" s="5" t="s">
        <v>185</v>
      </c>
      <c r="Z38" s="10" t="s">
        <v>71</v>
      </c>
      <c r="AA38" s="5" t="s">
        <v>475</v>
      </c>
      <c r="AB38" t="e">
        <f>COUNTIF([1]Sheet1!#REF!, "*"&amp; A38&amp;"*")</f>
        <v>#REF!</v>
      </c>
    </row>
    <row r="39" spans="1:28" x14ac:dyDescent="0.2">
      <c r="A39" s="5">
        <v>102021</v>
      </c>
      <c r="B39" s="5" t="s">
        <v>239</v>
      </c>
      <c r="C39" s="5">
        <v>187</v>
      </c>
      <c r="D39" s="5">
        <v>226</v>
      </c>
      <c r="E39" s="5">
        <v>78</v>
      </c>
      <c r="F39" s="5">
        <v>79</v>
      </c>
      <c r="G39" s="5">
        <v>78</v>
      </c>
      <c r="H39" s="5">
        <v>84</v>
      </c>
      <c r="I39" s="5">
        <v>77</v>
      </c>
      <c r="J39" s="5">
        <f>SUM(E39:I39)</f>
        <v>396</v>
      </c>
      <c r="K39" s="5">
        <v>320</v>
      </c>
      <c r="L39" s="5">
        <v>2</v>
      </c>
      <c r="M39" s="5" t="s">
        <v>725</v>
      </c>
      <c r="N39" s="5">
        <v>10</v>
      </c>
      <c r="O39" s="5">
        <v>17</v>
      </c>
      <c r="P39" s="5"/>
      <c r="Q39" s="5"/>
      <c r="R39" s="5">
        <f>MAX(25, INT(POWER(2.2,J39/45)))</f>
        <v>1031</v>
      </c>
      <c r="S39" s="5">
        <v>0</v>
      </c>
      <c r="T39" s="5">
        <v>1</v>
      </c>
      <c r="U39" s="5" t="s">
        <v>297</v>
      </c>
      <c r="V39" s="5"/>
      <c r="W39" s="5" t="s">
        <v>366</v>
      </c>
      <c r="X39" s="5"/>
      <c r="Y39" s="5" t="s">
        <v>314</v>
      </c>
      <c r="Z39" s="10" t="s">
        <v>71</v>
      </c>
      <c r="AA39" s="5" t="s">
        <v>476</v>
      </c>
      <c r="AB39" t="e">
        <f>COUNTIF([1]Sheet1!#REF!, "*"&amp; A39&amp;"*")</f>
        <v>#REF!</v>
      </c>
    </row>
    <row r="40" spans="1:28" x14ac:dyDescent="0.2">
      <c r="A40" s="5">
        <v>102022</v>
      </c>
      <c r="B40" s="5" t="s">
        <v>88</v>
      </c>
      <c r="C40" s="5">
        <v>192</v>
      </c>
      <c r="D40" s="5">
        <v>232</v>
      </c>
      <c r="E40" s="5">
        <v>64</v>
      </c>
      <c r="F40" s="5">
        <v>67</v>
      </c>
      <c r="G40" s="5">
        <v>75</v>
      </c>
      <c r="H40" s="5">
        <v>65</v>
      </c>
      <c r="I40" s="5">
        <v>74</v>
      </c>
      <c r="J40" s="5">
        <f>SUM(E40:I40)</f>
        <v>345</v>
      </c>
      <c r="K40" s="5">
        <v>300</v>
      </c>
      <c r="L40" s="5">
        <v>2</v>
      </c>
      <c r="M40" s="5" t="s">
        <v>725</v>
      </c>
      <c r="N40" s="5">
        <v>10</v>
      </c>
      <c r="O40" s="5">
        <v>17</v>
      </c>
      <c r="P40" s="5">
        <v>15</v>
      </c>
      <c r="Q40" s="5"/>
      <c r="R40" s="5">
        <f>MAX(25, INT(POWER(2.2,J40/45)))</f>
        <v>421</v>
      </c>
      <c r="S40" s="5">
        <v>0</v>
      </c>
      <c r="T40" s="5">
        <v>3</v>
      </c>
      <c r="U40" s="5" t="s">
        <v>293</v>
      </c>
      <c r="V40" s="5"/>
      <c r="W40" s="5" t="s">
        <v>376</v>
      </c>
      <c r="X40" s="5"/>
      <c r="Y40" s="5" t="s">
        <v>188</v>
      </c>
      <c r="Z40" s="10" t="s">
        <v>332</v>
      </c>
      <c r="AA40" s="5" t="s">
        <v>477</v>
      </c>
      <c r="AB40" t="e">
        <f>COUNTIF([1]Sheet1!#REF!, "*"&amp; A40&amp;"*")</f>
        <v>#REF!</v>
      </c>
    </row>
    <row r="41" spans="1:28" x14ac:dyDescent="0.2">
      <c r="A41" s="5">
        <v>102023</v>
      </c>
      <c r="B41" s="5" t="s">
        <v>89</v>
      </c>
      <c r="C41" s="5">
        <v>175</v>
      </c>
      <c r="D41" s="5">
        <v>234</v>
      </c>
      <c r="E41" s="5">
        <v>65</v>
      </c>
      <c r="F41" s="5">
        <v>49</v>
      </c>
      <c r="G41" s="5">
        <v>92</v>
      </c>
      <c r="H41" s="5">
        <v>75</v>
      </c>
      <c r="I41" s="5">
        <v>69</v>
      </c>
      <c r="J41" s="5">
        <f>SUM(E41:I41)</f>
        <v>350</v>
      </c>
      <c r="K41" s="5">
        <v>200</v>
      </c>
      <c r="L41" s="5">
        <v>2</v>
      </c>
      <c r="M41" s="5" t="s">
        <v>729</v>
      </c>
      <c r="N41" s="5">
        <v>10</v>
      </c>
      <c r="O41" s="5">
        <v>17</v>
      </c>
      <c r="P41" s="5">
        <v>13</v>
      </c>
      <c r="Q41" s="5">
        <v>2.5</v>
      </c>
      <c r="R41" s="5">
        <f>MAX(25, INT(POWER(2.2,J41/45)))</f>
        <v>460</v>
      </c>
      <c r="S41" s="5">
        <v>0</v>
      </c>
      <c r="T41" s="5">
        <v>3</v>
      </c>
      <c r="U41" s="5" t="s">
        <v>289</v>
      </c>
      <c r="V41" s="5"/>
      <c r="W41" s="5"/>
      <c r="X41" s="5"/>
      <c r="Y41" s="5" t="s">
        <v>187</v>
      </c>
      <c r="Z41" s="10" t="s">
        <v>370</v>
      </c>
      <c r="AA41" s="5" t="s">
        <v>478</v>
      </c>
      <c r="AB41" t="e">
        <f>COUNTIF([1]Sheet1!#REF!, "*"&amp; A41&amp;"*")</f>
        <v>#REF!</v>
      </c>
    </row>
    <row r="42" spans="1:28" x14ac:dyDescent="0.2">
      <c r="A42" s="5">
        <v>102024</v>
      </c>
      <c r="B42" s="5" t="s">
        <v>127</v>
      </c>
      <c r="C42" s="5">
        <v>168</v>
      </c>
      <c r="D42" s="5">
        <v>222</v>
      </c>
      <c r="E42" s="5">
        <v>73</v>
      </c>
      <c r="F42" s="5">
        <v>77</v>
      </c>
      <c r="G42" s="5">
        <v>67</v>
      </c>
      <c r="H42" s="5">
        <v>53</v>
      </c>
      <c r="I42" s="5">
        <v>42</v>
      </c>
      <c r="J42" s="5">
        <f>SUM(E42:I42)</f>
        <v>312</v>
      </c>
      <c r="K42" s="5">
        <v>210</v>
      </c>
      <c r="L42" s="5">
        <v>2</v>
      </c>
      <c r="M42" s="5" t="s">
        <v>728</v>
      </c>
      <c r="N42" s="5">
        <v>10</v>
      </c>
      <c r="O42" s="5">
        <v>17</v>
      </c>
      <c r="P42" s="5">
        <v>13</v>
      </c>
      <c r="Q42" s="5">
        <v>2.5</v>
      </c>
      <c r="R42" s="5">
        <f>MAX(25, INT(POWER(2.2,J42/45)))</f>
        <v>236</v>
      </c>
      <c r="S42" s="5">
        <v>0</v>
      </c>
      <c r="T42" s="5">
        <v>3</v>
      </c>
      <c r="U42" s="5" t="s">
        <v>289</v>
      </c>
      <c r="V42" s="5"/>
      <c r="Y42" s="5" t="s">
        <v>307</v>
      </c>
      <c r="Z42" s="10" t="s">
        <v>71</v>
      </c>
      <c r="AA42" s="5" t="s">
        <v>479</v>
      </c>
      <c r="AB42" t="e">
        <f>COUNTIF([1]Sheet1!#REF!, "*"&amp; A42&amp;"*")</f>
        <v>#REF!</v>
      </c>
    </row>
    <row r="43" spans="1:28" x14ac:dyDescent="0.2">
      <c r="A43" s="5">
        <v>102025</v>
      </c>
      <c r="B43" s="5" t="s">
        <v>145</v>
      </c>
      <c r="C43" s="5">
        <v>189</v>
      </c>
      <c r="D43" s="5">
        <v>223</v>
      </c>
      <c r="E43" s="5">
        <v>82</v>
      </c>
      <c r="F43" s="5">
        <v>90</v>
      </c>
      <c r="G43" s="5">
        <v>37</v>
      </c>
      <c r="H43" s="5">
        <v>32</v>
      </c>
      <c r="I43" s="5">
        <v>71</v>
      </c>
      <c r="J43" s="5">
        <f>SUM(E43:I43)</f>
        <v>312</v>
      </c>
      <c r="K43" s="5">
        <v>320</v>
      </c>
      <c r="L43" s="5">
        <v>2</v>
      </c>
      <c r="M43" s="5" t="s">
        <v>729</v>
      </c>
      <c r="N43" s="5">
        <v>10</v>
      </c>
      <c r="O43" s="5">
        <v>17</v>
      </c>
      <c r="P43" s="5"/>
      <c r="Q43" s="5"/>
      <c r="R43" s="5">
        <f>MAX(25, INT(POWER(2.2,J43/45)))</f>
        <v>236</v>
      </c>
      <c r="S43" s="5">
        <v>0</v>
      </c>
      <c r="T43" s="5">
        <v>1</v>
      </c>
      <c r="U43" s="5" t="s">
        <v>288</v>
      </c>
      <c r="V43" s="5"/>
      <c r="W43" s="5" t="s">
        <v>265</v>
      </c>
      <c r="X43" s="5"/>
      <c r="Y43" s="5" t="s">
        <v>186</v>
      </c>
      <c r="Z43" s="10" t="s">
        <v>71</v>
      </c>
      <c r="AA43" s="5" t="s">
        <v>480</v>
      </c>
      <c r="AB43" t="e">
        <f>COUNTIF([1]Sheet1!#REF!, "*"&amp; A43&amp;"*")</f>
        <v>#REF!</v>
      </c>
    </row>
    <row r="44" spans="1:28" x14ac:dyDescent="0.2">
      <c r="A44" s="5">
        <v>102026</v>
      </c>
      <c r="B44" s="5" t="s">
        <v>205</v>
      </c>
      <c r="C44" s="5">
        <v>162</v>
      </c>
      <c r="D44" s="5">
        <v>242</v>
      </c>
      <c r="E44" s="5">
        <v>84</v>
      </c>
      <c r="F44" s="5">
        <v>64</v>
      </c>
      <c r="G44" s="5">
        <v>82</v>
      </c>
      <c r="H44" s="5">
        <v>84</v>
      </c>
      <c r="I44" s="5">
        <v>50</v>
      </c>
      <c r="J44" s="5">
        <f>SUM(E44:I44)</f>
        <v>364</v>
      </c>
      <c r="K44" s="5">
        <v>280</v>
      </c>
      <c r="L44" s="5">
        <v>2</v>
      </c>
      <c r="M44" s="5" t="s">
        <v>730</v>
      </c>
      <c r="N44" s="5">
        <v>10</v>
      </c>
      <c r="O44" s="5">
        <v>17</v>
      </c>
      <c r="P44" s="5"/>
      <c r="Q44" s="5"/>
      <c r="R44" s="5">
        <f>MAX(25, INT(POWER(2.2,J44/45)))</f>
        <v>588</v>
      </c>
      <c r="S44" s="5">
        <v>0</v>
      </c>
      <c r="T44" s="5">
        <v>1</v>
      </c>
      <c r="U44" s="5" t="s">
        <v>287</v>
      </c>
      <c r="V44" s="5"/>
      <c r="W44" s="5" t="s">
        <v>301</v>
      </c>
      <c r="X44" s="5"/>
      <c r="Y44" s="5" t="s">
        <v>316</v>
      </c>
      <c r="Z44" s="10" t="s">
        <v>330</v>
      </c>
      <c r="AA44" s="5" t="s">
        <v>485</v>
      </c>
      <c r="AB44" t="e">
        <f>COUNTIF([1]Sheet1!#REF!, "*"&amp; A44&amp;"*")</f>
        <v>#REF!</v>
      </c>
    </row>
    <row r="45" spans="1:28" x14ac:dyDescent="0.2">
      <c r="A45" s="5">
        <v>102027</v>
      </c>
      <c r="B45" s="5" t="s">
        <v>242</v>
      </c>
      <c r="C45" s="5">
        <v>196</v>
      </c>
      <c r="D45" s="5">
        <v>208</v>
      </c>
      <c r="E45" s="5">
        <v>31</v>
      </c>
      <c r="F45" s="5">
        <v>21</v>
      </c>
      <c r="G45" s="5">
        <v>79</v>
      </c>
      <c r="H45" s="5">
        <v>74</v>
      </c>
      <c r="I45" s="5">
        <v>78</v>
      </c>
      <c r="J45" s="5">
        <f>SUM(E45:I45)</f>
        <v>283</v>
      </c>
      <c r="K45" s="5">
        <v>260</v>
      </c>
      <c r="L45" s="5">
        <v>2</v>
      </c>
      <c r="M45" s="5" t="s">
        <v>725</v>
      </c>
      <c r="N45" s="5">
        <v>10</v>
      </c>
      <c r="O45" s="5">
        <v>17</v>
      </c>
      <c r="P45" s="5">
        <v>15</v>
      </c>
      <c r="Q45" s="5"/>
      <c r="R45" s="5">
        <f>MAX(25, INT(POWER(2.2,J45/45)))</f>
        <v>142</v>
      </c>
      <c r="S45" s="5">
        <v>0</v>
      </c>
      <c r="T45" s="5">
        <v>3</v>
      </c>
      <c r="U45" s="5" t="s">
        <v>293</v>
      </c>
      <c r="V45" s="5"/>
      <c r="W45" s="5" t="s">
        <v>379</v>
      </c>
      <c r="X45" s="5"/>
      <c r="Y45" s="5" t="s">
        <v>188</v>
      </c>
      <c r="Z45" s="10" t="s">
        <v>332</v>
      </c>
      <c r="AA45" s="5" t="s">
        <v>486</v>
      </c>
      <c r="AB45" t="e">
        <f>COUNTIF([1]Sheet1!#REF!, "*"&amp; A45&amp;"*")</f>
        <v>#REF!</v>
      </c>
    </row>
    <row r="46" spans="1:28" x14ac:dyDescent="0.2">
      <c r="A46" s="5">
        <v>102028</v>
      </c>
      <c r="B46" s="5" t="s">
        <v>244</v>
      </c>
      <c r="C46" s="5">
        <v>188</v>
      </c>
      <c r="D46" s="5">
        <v>249</v>
      </c>
      <c r="E46" s="5">
        <v>48</v>
      </c>
      <c r="F46" s="5">
        <v>43</v>
      </c>
      <c r="G46" s="5">
        <v>80</v>
      </c>
      <c r="H46" s="5">
        <v>73</v>
      </c>
      <c r="I46" s="5">
        <v>53</v>
      </c>
      <c r="J46" s="5">
        <f>SUM(E46:I46)</f>
        <v>297</v>
      </c>
      <c r="K46" s="5">
        <v>310</v>
      </c>
      <c r="L46" s="5">
        <v>2</v>
      </c>
      <c r="M46" s="5" t="s">
        <v>731</v>
      </c>
      <c r="N46" s="5">
        <v>10</v>
      </c>
      <c r="O46" s="5">
        <v>17</v>
      </c>
      <c r="P46" s="5">
        <v>35</v>
      </c>
      <c r="Q46" s="5"/>
      <c r="R46" s="5">
        <f>MAX(25, INT(POWER(2.2,J46/45)))</f>
        <v>181</v>
      </c>
      <c r="S46" s="5">
        <v>0</v>
      </c>
      <c r="T46" s="5">
        <v>3</v>
      </c>
      <c r="U46" s="5" t="s">
        <v>299</v>
      </c>
      <c r="V46" s="5"/>
      <c r="W46" s="5" t="s">
        <v>322</v>
      </c>
      <c r="X46" s="5"/>
      <c r="Y46" s="5" t="s">
        <v>194</v>
      </c>
      <c r="Z46" s="10" t="s">
        <v>333</v>
      </c>
      <c r="AA46" s="5" t="s">
        <v>487</v>
      </c>
      <c r="AB46" t="e">
        <f>COUNTIF([1]Sheet1!#REF!, "*"&amp; A46&amp;"*")</f>
        <v>#REF!</v>
      </c>
    </row>
    <row r="47" spans="1:28" x14ac:dyDescent="0.2">
      <c r="A47" s="5">
        <v>102029</v>
      </c>
      <c r="B47" s="5" t="s">
        <v>248</v>
      </c>
      <c r="C47" s="5">
        <v>183</v>
      </c>
      <c r="D47" s="5">
        <v>221</v>
      </c>
      <c r="E47" s="5">
        <v>14</v>
      </c>
      <c r="F47" s="5">
        <v>3</v>
      </c>
      <c r="G47" s="5">
        <v>69</v>
      </c>
      <c r="H47" s="5">
        <v>64</v>
      </c>
      <c r="I47" s="5">
        <v>94</v>
      </c>
      <c r="J47" s="5">
        <f>SUM(E47:I47)</f>
        <v>244</v>
      </c>
      <c r="K47" s="5">
        <v>290</v>
      </c>
      <c r="L47" s="5">
        <v>2</v>
      </c>
      <c r="M47" s="5" t="s">
        <v>730</v>
      </c>
      <c r="N47" s="5">
        <v>10</v>
      </c>
      <c r="O47" s="5">
        <v>17</v>
      </c>
      <c r="P47" s="5">
        <v>35</v>
      </c>
      <c r="Q47" s="5"/>
      <c r="R47" s="5">
        <f>MAX(25, INT(POWER(2.2,J47/45)))</f>
        <v>71</v>
      </c>
      <c r="S47" s="5">
        <v>0</v>
      </c>
      <c r="T47" s="5">
        <v>3</v>
      </c>
      <c r="U47" s="5" t="s">
        <v>299</v>
      </c>
      <c r="V47" s="5"/>
      <c r="W47" t="s">
        <v>392</v>
      </c>
      <c r="Y47" s="5" t="s">
        <v>194</v>
      </c>
      <c r="Z47" s="10" t="s">
        <v>333</v>
      </c>
      <c r="AA47" s="5" t="s">
        <v>488</v>
      </c>
      <c r="AB47" t="e">
        <f>COUNTIF([1]Sheet1!#REF!, "*"&amp; A47&amp;"*")</f>
        <v>#REF!</v>
      </c>
    </row>
    <row r="48" spans="1:28" x14ac:dyDescent="0.2">
      <c r="A48" s="5">
        <v>102030</v>
      </c>
      <c r="B48" s="5" t="s">
        <v>253</v>
      </c>
      <c r="C48" s="5">
        <v>169</v>
      </c>
      <c r="D48" s="5">
        <v>196</v>
      </c>
      <c r="E48" s="5">
        <v>66</v>
      </c>
      <c r="F48" s="5">
        <v>24</v>
      </c>
      <c r="G48" s="5">
        <v>88</v>
      </c>
      <c r="H48" s="5">
        <v>75</v>
      </c>
      <c r="I48" s="5">
        <v>70</v>
      </c>
      <c r="J48" s="5">
        <f>SUM(E48:I48)</f>
        <v>323</v>
      </c>
      <c r="K48" s="5">
        <v>270</v>
      </c>
      <c r="L48" s="5">
        <v>2</v>
      </c>
      <c r="M48" s="5" t="s">
        <v>730</v>
      </c>
      <c r="N48" s="5">
        <v>10</v>
      </c>
      <c r="O48" s="5">
        <v>17</v>
      </c>
      <c r="P48" s="5">
        <v>15</v>
      </c>
      <c r="Q48" s="5"/>
      <c r="R48" s="5">
        <f>MAX(25, INT(POWER(2.2,J48/45)))</f>
        <v>286</v>
      </c>
      <c r="S48" s="5">
        <v>0</v>
      </c>
      <c r="T48" s="5">
        <v>3</v>
      </c>
      <c r="U48" s="5" t="s">
        <v>291</v>
      </c>
      <c r="V48" s="5"/>
      <c r="W48" t="s">
        <v>397</v>
      </c>
      <c r="Y48" s="5" t="s">
        <v>317</v>
      </c>
      <c r="Z48" s="10" t="s">
        <v>70</v>
      </c>
      <c r="AA48" s="5" t="s">
        <v>489</v>
      </c>
      <c r="AB48" t="e">
        <f>COUNTIF([1]Sheet1!#REF!, "*"&amp; A48&amp;"*")</f>
        <v>#REF!</v>
      </c>
    </row>
    <row r="49" spans="1:28" x14ac:dyDescent="0.2">
      <c r="A49" s="5">
        <v>102032</v>
      </c>
      <c r="B49" s="5" t="s">
        <v>82</v>
      </c>
      <c r="C49" s="5">
        <v>180</v>
      </c>
      <c r="D49" s="5">
        <v>231</v>
      </c>
      <c r="E49" s="5">
        <v>82</v>
      </c>
      <c r="F49" s="5">
        <v>74</v>
      </c>
      <c r="G49" s="5">
        <v>65</v>
      </c>
      <c r="H49" s="5">
        <v>69</v>
      </c>
      <c r="I49" s="5">
        <v>84</v>
      </c>
      <c r="J49" s="5">
        <f>SUM(E49:I49)</f>
        <v>374</v>
      </c>
      <c r="K49" s="5">
        <v>310</v>
      </c>
      <c r="L49" s="5">
        <v>2</v>
      </c>
      <c r="M49" s="5" t="s">
        <v>731</v>
      </c>
      <c r="N49" s="5">
        <v>10</v>
      </c>
      <c r="O49" s="5">
        <v>17</v>
      </c>
      <c r="P49" s="5"/>
      <c r="Q49" s="5"/>
      <c r="R49" s="5">
        <f>MAX(25, INT(POWER(2.2,J49/45)))</f>
        <v>701</v>
      </c>
      <c r="S49" s="5">
        <v>0</v>
      </c>
      <c r="T49" s="5">
        <v>1</v>
      </c>
      <c r="U49" s="5" t="s">
        <v>287</v>
      </c>
      <c r="V49" s="5"/>
      <c r="W49" s="5" t="s">
        <v>351</v>
      </c>
      <c r="Y49" s="5" t="s">
        <v>313</v>
      </c>
      <c r="Z49" s="10" t="s">
        <v>71</v>
      </c>
      <c r="AA49" s="5" t="s">
        <v>473</v>
      </c>
      <c r="AB49" t="e">
        <f>COUNTIF([1]Sheet1!#REF!, "*"&amp; A49&amp;"*")</f>
        <v>#REF!</v>
      </c>
    </row>
    <row r="50" spans="1:28" x14ac:dyDescent="0.2">
      <c r="A50" s="5">
        <v>102033</v>
      </c>
      <c r="B50" s="5" t="s">
        <v>202</v>
      </c>
      <c r="C50" s="5">
        <v>187</v>
      </c>
      <c r="D50" s="5">
        <v>255</v>
      </c>
      <c r="E50" s="5">
        <v>87</v>
      </c>
      <c r="F50" s="5">
        <v>78</v>
      </c>
      <c r="G50" s="5">
        <v>76</v>
      </c>
      <c r="H50" s="5">
        <v>71</v>
      </c>
      <c r="I50" s="5">
        <v>73</v>
      </c>
      <c r="J50" s="5">
        <f>SUM(E50:I50)</f>
        <v>385</v>
      </c>
      <c r="K50" s="5">
        <v>320</v>
      </c>
      <c r="L50" s="5">
        <v>2</v>
      </c>
      <c r="M50" s="5" t="s">
        <v>727</v>
      </c>
      <c r="N50" s="5">
        <v>10</v>
      </c>
      <c r="O50" s="5">
        <v>17</v>
      </c>
      <c r="P50" s="5"/>
      <c r="Q50" s="5"/>
      <c r="R50" s="5">
        <f>MAX(25, INT(POWER(2.2,J50/45)))</f>
        <v>850</v>
      </c>
      <c r="S50" s="5">
        <v>0</v>
      </c>
      <c r="T50" s="5">
        <v>1</v>
      </c>
      <c r="U50" s="5" t="s">
        <v>285</v>
      </c>
      <c r="V50" s="5"/>
      <c r="W50" s="5"/>
      <c r="X50" s="5"/>
      <c r="Y50" s="5" t="s">
        <v>219</v>
      </c>
      <c r="Z50" s="10" t="s">
        <v>71</v>
      </c>
      <c r="AA50" s="5" t="s">
        <v>482</v>
      </c>
      <c r="AB50" t="e">
        <f>COUNTIF([1]Sheet1!#REF!, "*"&amp; A50&amp;"*")</f>
        <v>#REF!</v>
      </c>
    </row>
    <row r="51" spans="1:28" x14ac:dyDescent="0.2">
      <c r="A51" s="5">
        <v>102034</v>
      </c>
      <c r="B51" s="5" t="s">
        <v>203</v>
      </c>
      <c r="C51" s="5">
        <v>185</v>
      </c>
      <c r="D51" s="5">
        <v>225</v>
      </c>
      <c r="E51" s="5">
        <v>79</v>
      </c>
      <c r="F51" s="5">
        <v>75</v>
      </c>
      <c r="G51" s="5">
        <v>72</v>
      </c>
      <c r="H51" s="5">
        <v>63</v>
      </c>
      <c r="I51" s="5">
        <v>59</v>
      </c>
      <c r="J51" s="5">
        <f>SUM(E51:I51)</f>
        <v>348</v>
      </c>
      <c r="K51" s="5">
        <v>315</v>
      </c>
      <c r="L51" s="5">
        <v>2</v>
      </c>
      <c r="M51" s="5" t="s">
        <v>727</v>
      </c>
      <c r="N51" s="5">
        <v>10</v>
      </c>
      <c r="O51" s="5">
        <v>17</v>
      </c>
      <c r="P51" s="5"/>
      <c r="Q51" s="5"/>
      <c r="R51" s="5">
        <f>MAX(25, INT(POWER(2.2,J51/45)))</f>
        <v>444</v>
      </c>
      <c r="S51" s="5">
        <v>0</v>
      </c>
      <c r="T51" s="5">
        <v>1</v>
      </c>
      <c r="U51" s="5" t="s">
        <v>287</v>
      </c>
      <c r="V51" s="5"/>
      <c r="W51" s="5" t="s">
        <v>366</v>
      </c>
      <c r="X51" s="5"/>
      <c r="Y51" s="5" t="s">
        <v>313</v>
      </c>
      <c r="Z51" s="10" t="s">
        <v>71</v>
      </c>
      <c r="AA51" s="5" t="s">
        <v>483</v>
      </c>
      <c r="AB51" t="e">
        <f>COUNTIF([1]Sheet1!#REF!, "*"&amp; A51&amp;"*")</f>
        <v>#REF!</v>
      </c>
    </row>
    <row r="52" spans="1:28" x14ac:dyDescent="0.2">
      <c r="A52" s="5">
        <v>102035</v>
      </c>
      <c r="B52" s="5" t="s">
        <v>204</v>
      </c>
      <c r="C52" s="5">
        <v>151</v>
      </c>
      <c r="D52" s="5">
        <v>230</v>
      </c>
      <c r="E52" s="5">
        <v>70</v>
      </c>
      <c r="F52" s="5">
        <v>37</v>
      </c>
      <c r="G52" s="5">
        <v>72</v>
      </c>
      <c r="H52" s="5">
        <v>91</v>
      </c>
      <c r="I52" s="5">
        <v>76</v>
      </c>
      <c r="J52" s="5">
        <f>SUM(E52:I52)</f>
        <v>346</v>
      </c>
      <c r="K52" s="5">
        <v>290</v>
      </c>
      <c r="L52" s="5">
        <v>2</v>
      </c>
      <c r="M52" s="5" t="s">
        <v>725</v>
      </c>
      <c r="N52" s="5">
        <v>10</v>
      </c>
      <c r="O52" s="5">
        <v>17</v>
      </c>
      <c r="P52" s="5">
        <v>18</v>
      </c>
      <c r="Q52" s="5"/>
      <c r="R52" s="5">
        <f>MAX(25, INT(POWER(2.2,J52/45)))</f>
        <v>429</v>
      </c>
      <c r="S52" s="5">
        <v>0</v>
      </c>
      <c r="T52" s="5">
        <v>3</v>
      </c>
      <c r="U52" s="5" t="s">
        <v>292</v>
      </c>
      <c r="V52" s="5"/>
      <c r="W52" s="5" t="s">
        <v>321</v>
      </c>
      <c r="X52" s="5"/>
      <c r="Y52" s="5" t="s">
        <v>194</v>
      </c>
      <c r="Z52" s="10" t="s">
        <v>334</v>
      </c>
      <c r="AA52" s="5" t="s">
        <v>484</v>
      </c>
    </row>
    <row r="53" spans="1:28" x14ac:dyDescent="0.2">
      <c r="A53" s="5">
        <v>102036</v>
      </c>
      <c r="B53" s="5" t="s">
        <v>706</v>
      </c>
      <c r="C53" s="5">
        <v>165</v>
      </c>
      <c r="D53" s="5">
        <v>227</v>
      </c>
      <c r="E53" s="5">
        <v>80</v>
      </c>
      <c r="F53" s="5">
        <v>72</v>
      </c>
      <c r="G53" s="5">
        <v>80</v>
      </c>
      <c r="H53" s="5">
        <v>78</v>
      </c>
      <c r="I53" s="5">
        <v>75</v>
      </c>
      <c r="J53" s="5">
        <f>SUM(E53:I53)</f>
        <v>385</v>
      </c>
      <c r="K53" s="5">
        <v>310</v>
      </c>
      <c r="L53" s="5">
        <v>2</v>
      </c>
      <c r="M53" s="5" t="s">
        <v>731</v>
      </c>
      <c r="N53" s="5">
        <v>10</v>
      </c>
      <c r="O53" s="5">
        <v>17</v>
      </c>
      <c r="P53" s="5"/>
      <c r="Q53" s="5"/>
      <c r="R53" s="5">
        <f>MAX(25, INT(POWER(2.2,J53/45)))</f>
        <v>850</v>
      </c>
      <c r="S53" s="5">
        <v>0</v>
      </c>
      <c r="T53" s="5">
        <v>1</v>
      </c>
      <c r="U53" s="5" t="s">
        <v>298</v>
      </c>
      <c r="V53" s="5"/>
      <c r="W53" s="5"/>
      <c r="X53" s="5"/>
      <c r="Y53" s="5" t="s">
        <v>185</v>
      </c>
      <c r="Z53" s="10" t="s">
        <v>337</v>
      </c>
      <c r="AA53" s="5" t="s">
        <v>760</v>
      </c>
    </row>
    <row r="54" spans="1:28" x14ac:dyDescent="0.2">
      <c r="A54" s="5">
        <v>102037</v>
      </c>
      <c r="B54" s="5" t="s">
        <v>707</v>
      </c>
      <c r="C54" s="5">
        <v>165</v>
      </c>
      <c r="D54" s="5">
        <v>210</v>
      </c>
      <c r="E54" s="5">
        <v>79</v>
      </c>
      <c r="F54" s="5">
        <v>78</v>
      </c>
      <c r="G54" s="5">
        <v>51</v>
      </c>
      <c r="H54" s="5">
        <v>46</v>
      </c>
      <c r="I54" s="5">
        <v>61</v>
      </c>
      <c r="J54" s="5">
        <f>SUM(E54:I54)</f>
        <v>315</v>
      </c>
      <c r="K54" s="5">
        <v>310</v>
      </c>
      <c r="L54" s="5">
        <v>2</v>
      </c>
      <c r="M54" s="5" t="s">
        <v>726</v>
      </c>
      <c r="N54" s="5">
        <v>10</v>
      </c>
      <c r="O54" s="5">
        <v>17</v>
      </c>
      <c r="P54" s="5"/>
      <c r="Q54" s="5"/>
      <c r="R54" s="5">
        <f>MAX(25, INT(POWER(2.2,J54/45)))</f>
        <v>249</v>
      </c>
      <c r="S54" s="5">
        <v>0</v>
      </c>
      <c r="T54" s="5">
        <v>1</v>
      </c>
      <c r="U54" s="5" t="s">
        <v>298</v>
      </c>
      <c r="V54" s="5"/>
      <c r="W54" s="5"/>
      <c r="X54" s="5"/>
      <c r="Y54" s="5" t="s">
        <v>185</v>
      </c>
      <c r="Z54" s="10" t="s">
        <v>337</v>
      </c>
      <c r="AA54" s="5" t="s">
        <v>761</v>
      </c>
    </row>
    <row r="55" spans="1:28" x14ac:dyDescent="0.2">
      <c r="A55" s="5">
        <v>102038</v>
      </c>
      <c r="B55" s="5" t="s">
        <v>708</v>
      </c>
      <c r="C55" s="5">
        <v>163</v>
      </c>
      <c r="D55" s="5">
        <v>201</v>
      </c>
      <c r="E55" s="5">
        <v>79</v>
      </c>
      <c r="F55" s="5">
        <v>64</v>
      </c>
      <c r="G55" s="5">
        <v>81</v>
      </c>
      <c r="H55" s="5">
        <v>82</v>
      </c>
      <c r="I55" s="5">
        <v>61</v>
      </c>
      <c r="J55" s="5">
        <f>SUM(E55:I55)</f>
        <v>367</v>
      </c>
      <c r="K55" s="5">
        <v>310</v>
      </c>
      <c r="L55" s="5">
        <v>2</v>
      </c>
      <c r="M55" s="5" t="s">
        <v>729</v>
      </c>
      <c r="N55" s="5">
        <v>10</v>
      </c>
      <c r="O55" s="5">
        <v>17</v>
      </c>
      <c r="P55" s="5"/>
      <c r="Q55" s="5"/>
      <c r="R55" s="5">
        <f>MAX(25, INT(POWER(2.2,J55/45)))</f>
        <v>620</v>
      </c>
      <c r="S55" s="5">
        <v>0</v>
      </c>
      <c r="T55" s="5">
        <v>1</v>
      </c>
      <c r="U55" s="5" t="s">
        <v>298</v>
      </c>
      <c r="V55" s="5"/>
      <c r="W55" s="5"/>
      <c r="X55" s="5"/>
      <c r="Y55" s="5" t="s">
        <v>185</v>
      </c>
      <c r="Z55" s="10" t="s">
        <v>337</v>
      </c>
      <c r="AA55" s="5" t="s">
        <v>762</v>
      </c>
    </row>
    <row r="56" spans="1:28" x14ac:dyDescent="0.2">
      <c r="A56" s="5">
        <v>102039</v>
      </c>
      <c r="B56" s="5" t="s">
        <v>954</v>
      </c>
      <c r="C56" s="5">
        <v>174</v>
      </c>
      <c r="D56" s="5">
        <v>228</v>
      </c>
      <c r="E56" s="5">
        <v>78</v>
      </c>
      <c r="F56" s="5">
        <v>61</v>
      </c>
      <c r="G56" s="5">
        <v>84</v>
      </c>
      <c r="H56" s="5">
        <v>85</v>
      </c>
      <c r="I56" s="5">
        <v>75</v>
      </c>
      <c r="J56" s="5">
        <f>SUM(E56:I56)</f>
        <v>383</v>
      </c>
      <c r="K56" s="5">
        <v>310</v>
      </c>
      <c r="L56" s="5">
        <v>2</v>
      </c>
      <c r="M56" s="5" t="s">
        <v>731</v>
      </c>
      <c r="N56" s="5">
        <v>10</v>
      </c>
      <c r="O56" s="5">
        <v>17</v>
      </c>
      <c r="P56" s="5"/>
      <c r="Q56" s="5"/>
      <c r="R56" s="5">
        <f>MAX(25, INT(POWER(2.2,J56/45)))</f>
        <v>821</v>
      </c>
      <c r="S56" s="5">
        <v>0</v>
      </c>
      <c r="T56" s="5">
        <v>1</v>
      </c>
      <c r="U56" s="5" t="s">
        <v>298</v>
      </c>
      <c r="V56" s="5"/>
      <c r="W56" s="5"/>
      <c r="X56" s="5"/>
      <c r="Y56" s="5" t="s">
        <v>185</v>
      </c>
      <c r="Z56" s="10" t="s">
        <v>337</v>
      </c>
      <c r="AA56" s="5" t="s">
        <v>763</v>
      </c>
    </row>
    <row r="57" spans="1:28" x14ac:dyDescent="0.2">
      <c r="A57" s="5">
        <v>102040</v>
      </c>
      <c r="B57" s="5" t="s">
        <v>709</v>
      </c>
      <c r="C57" s="5">
        <v>170</v>
      </c>
      <c r="D57" s="5">
        <v>210</v>
      </c>
      <c r="E57" s="5">
        <v>75</v>
      </c>
      <c r="F57" s="5">
        <v>71</v>
      </c>
      <c r="G57" s="5">
        <v>60</v>
      </c>
      <c r="H57" s="5">
        <v>35</v>
      </c>
      <c r="I57" s="5">
        <v>72</v>
      </c>
      <c r="J57" s="5">
        <f>SUM(E57:I57)</f>
        <v>313</v>
      </c>
      <c r="K57" s="5">
        <v>310</v>
      </c>
      <c r="L57" s="5">
        <v>2</v>
      </c>
      <c r="M57" s="5" t="s">
        <v>725</v>
      </c>
      <c r="N57" s="5">
        <v>10</v>
      </c>
      <c r="O57" s="5">
        <v>17</v>
      </c>
      <c r="P57" s="5"/>
      <c r="Q57" s="5"/>
      <c r="R57" s="5">
        <f>MAX(25, INT(POWER(2.2,J57/45)))</f>
        <v>240</v>
      </c>
      <c r="S57" s="5">
        <v>0</v>
      </c>
      <c r="T57" s="5">
        <v>1</v>
      </c>
      <c r="U57" s="5" t="s">
        <v>298</v>
      </c>
      <c r="V57" s="5"/>
      <c r="W57" s="5"/>
      <c r="X57" s="5"/>
      <c r="Y57" s="5" t="s">
        <v>185</v>
      </c>
      <c r="Z57" s="10" t="s">
        <v>337</v>
      </c>
      <c r="AA57" s="5" t="s">
        <v>764</v>
      </c>
    </row>
    <row r="58" spans="1:28" x14ac:dyDescent="0.2">
      <c r="A58" s="5">
        <v>102041</v>
      </c>
      <c r="B58" s="5" t="s">
        <v>710</v>
      </c>
      <c r="C58" s="5">
        <v>172</v>
      </c>
      <c r="D58" s="5">
        <v>251</v>
      </c>
      <c r="E58" s="5">
        <v>74</v>
      </c>
      <c r="F58" s="5">
        <v>64</v>
      </c>
      <c r="G58" s="5">
        <v>70</v>
      </c>
      <c r="H58" s="5">
        <v>82</v>
      </c>
      <c r="I58" s="5">
        <v>71</v>
      </c>
      <c r="J58" s="5">
        <f>SUM(E58:I58)</f>
        <v>361</v>
      </c>
      <c r="K58" s="5">
        <v>310</v>
      </c>
      <c r="L58" s="5">
        <v>2</v>
      </c>
      <c r="M58" s="5" t="s">
        <v>730</v>
      </c>
      <c r="N58" s="5">
        <v>10</v>
      </c>
      <c r="O58" s="5">
        <v>17</v>
      </c>
      <c r="P58" s="5"/>
      <c r="Q58" s="5"/>
      <c r="R58" s="5">
        <f>MAX(25, INT(POWER(2.2,J58/45)))</f>
        <v>558</v>
      </c>
      <c r="S58" s="5">
        <v>0</v>
      </c>
      <c r="T58" s="5">
        <v>1</v>
      </c>
      <c r="U58" s="5" t="s">
        <v>298</v>
      </c>
      <c r="V58" s="5"/>
      <c r="W58" s="5"/>
      <c r="X58" s="5"/>
      <c r="Y58" s="5" t="s">
        <v>185</v>
      </c>
      <c r="Z58" s="10" t="s">
        <v>337</v>
      </c>
      <c r="AA58" s="5" t="s">
        <v>765</v>
      </c>
    </row>
    <row r="59" spans="1:28" x14ac:dyDescent="0.2">
      <c r="A59" s="5">
        <v>102042</v>
      </c>
      <c r="B59" s="5" t="s">
        <v>711</v>
      </c>
      <c r="C59" s="5">
        <v>168</v>
      </c>
      <c r="D59" s="5">
        <v>223</v>
      </c>
      <c r="E59" s="5">
        <v>74</v>
      </c>
      <c r="F59" s="5">
        <v>35</v>
      </c>
      <c r="G59" s="5">
        <v>75</v>
      </c>
      <c r="H59" s="5">
        <v>89</v>
      </c>
      <c r="I59" s="5">
        <v>81</v>
      </c>
      <c r="J59" s="5">
        <f>SUM(E59:I59)</f>
        <v>354</v>
      </c>
      <c r="K59" s="5">
        <v>310</v>
      </c>
      <c r="L59" s="5">
        <v>2</v>
      </c>
      <c r="M59" s="5" t="s">
        <v>728</v>
      </c>
      <c r="N59" s="5">
        <v>10</v>
      </c>
      <c r="O59" s="5">
        <v>17</v>
      </c>
      <c r="P59" s="5"/>
      <c r="Q59" s="5"/>
      <c r="R59" s="5">
        <f>MAX(25, INT(POWER(2.2,J59/45)))</f>
        <v>493</v>
      </c>
      <c r="S59" s="5">
        <v>0</v>
      </c>
      <c r="T59" s="5">
        <v>1</v>
      </c>
      <c r="U59" s="5" t="s">
        <v>298</v>
      </c>
      <c r="V59" s="5"/>
      <c r="W59" s="5"/>
      <c r="X59" s="5"/>
      <c r="Y59" s="5" t="s">
        <v>185</v>
      </c>
      <c r="Z59" s="10" t="s">
        <v>337</v>
      </c>
      <c r="AA59" s="5" t="s">
        <v>766</v>
      </c>
    </row>
    <row r="60" spans="1:28" x14ac:dyDescent="0.2">
      <c r="A60" s="5">
        <v>102043</v>
      </c>
      <c r="B60" s="5" t="s">
        <v>767</v>
      </c>
      <c r="C60" s="5">
        <v>160</v>
      </c>
      <c r="D60" s="5">
        <v>223</v>
      </c>
      <c r="E60" s="5">
        <v>73</v>
      </c>
      <c r="F60" s="5">
        <v>40</v>
      </c>
      <c r="G60" s="5">
        <v>73</v>
      </c>
      <c r="H60" s="5">
        <v>87</v>
      </c>
      <c r="I60" s="5">
        <v>80</v>
      </c>
      <c r="J60" s="5">
        <f>SUM(E60:I60)</f>
        <v>353</v>
      </c>
      <c r="K60" s="5">
        <v>310</v>
      </c>
      <c r="L60" s="5">
        <v>2</v>
      </c>
      <c r="M60" s="5" t="s">
        <v>728</v>
      </c>
      <c r="N60" s="5">
        <v>10</v>
      </c>
      <c r="O60" s="5">
        <v>17</v>
      </c>
      <c r="P60" s="5"/>
      <c r="Q60" s="5"/>
      <c r="R60" s="5">
        <f>MAX(25, INT(POWER(2.2,J60/45)))</f>
        <v>485</v>
      </c>
      <c r="S60" s="5">
        <v>0</v>
      </c>
      <c r="T60" s="5">
        <v>1</v>
      </c>
      <c r="U60" s="5" t="s">
        <v>298</v>
      </c>
      <c r="V60" s="5"/>
      <c r="W60" s="5"/>
      <c r="X60" s="5"/>
      <c r="Y60" s="5" t="s">
        <v>185</v>
      </c>
      <c r="Z60" s="10" t="s">
        <v>337</v>
      </c>
      <c r="AA60" s="5" t="s">
        <v>768</v>
      </c>
    </row>
    <row r="61" spans="1:28" x14ac:dyDescent="0.2">
      <c r="A61" s="5">
        <v>102044</v>
      </c>
      <c r="B61" s="5" t="s">
        <v>712</v>
      </c>
      <c r="C61" s="5">
        <v>165</v>
      </c>
      <c r="D61" s="5">
        <v>209</v>
      </c>
      <c r="E61" s="5">
        <v>73</v>
      </c>
      <c r="F61" s="5">
        <v>81</v>
      </c>
      <c r="G61" s="5">
        <v>57</v>
      </c>
      <c r="H61" s="5">
        <v>63</v>
      </c>
      <c r="I61" s="5">
        <v>83</v>
      </c>
      <c r="J61" s="5">
        <f>SUM(E61:I61)</f>
        <v>357</v>
      </c>
      <c r="K61" s="5">
        <v>310</v>
      </c>
      <c r="L61" s="5">
        <v>2</v>
      </c>
      <c r="M61" s="5" t="s">
        <v>730</v>
      </c>
      <c r="N61" s="5">
        <v>10</v>
      </c>
      <c r="O61" s="5">
        <v>17</v>
      </c>
      <c r="P61" s="5"/>
      <c r="Q61" s="5"/>
      <c r="R61" s="5">
        <f>MAX(25, INT(POWER(2.2,J61/45)))</f>
        <v>520</v>
      </c>
      <c r="S61" s="5">
        <v>0</v>
      </c>
      <c r="T61" s="5">
        <v>1</v>
      </c>
      <c r="U61" s="5" t="s">
        <v>298</v>
      </c>
      <c r="V61" s="5"/>
      <c r="W61" s="5"/>
      <c r="X61" s="5"/>
      <c r="Y61" s="5" t="s">
        <v>185</v>
      </c>
      <c r="Z61" s="10" t="s">
        <v>337</v>
      </c>
      <c r="AA61" s="5" t="s">
        <v>769</v>
      </c>
    </row>
    <row r="62" spans="1:28" x14ac:dyDescent="0.2">
      <c r="A62" s="5">
        <v>102046</v>
      </c>
      <c r="B62" s="5" t="s">
        <v>770</v>
      </c>
      <c r="C62" s="5">
        <v>170</v>
      </c>
      <c r="D62" s="5">
        <v>213</v>
      </c>
      <c r="E62" s="5">
        <v>72</v>
      </c>
      <c r="F62" s="5">
        <v>78</v>
      </c>
      <c r="G62" s="5">
        <v>51</v>
      </c>
      <c r="H62" s="5">
        <v>39</v>
      </c>
      <c r="I62" s="5">
        <v>66</v>
      </c>
      <c r="J62" s="5">
        <f>SUM(E62:I62)</f>
        <v>306</v>
      </c>
      <c r="K62" s="5">
        <v>310</v>
      </c>
      <c r="L62" s="5">
        <v>2</v>
      </c>
      <c r="M62" s="5" t="s">
        <v>727</v>
      </c>
      <c r="N62" s="5">
        <v>10</v>
      </c>
      <c r="O62" s="5">
        <v>17</v>
      </c>
      <c r="P62" s="5"/>
      <c r="Q62" s="5"/>
      <c r="R62" s="5">
        <f>MAX(25, INT(POWER(2.2,J62/45)))</f>
        <v>213</v>
      </c>
      <c r="S62" s="5">
        <v>0</v>
      </c>
      <c r="T62" s="5">
        <v>1</v>
      </c>
      <c r="U62" s="5" t="s">
        <v>298</v>
      </c>
      <c r="V62" s="5"/>
      <c r="W62" s="5"/>
      <c r="X62" s="5"/>
      <c r="Y62" s="5" t="s">
        <v>185</v>
      </c>
      <c r="Z62" s="10" t="s">
        <v>337</v>
      </c>
      <c r="AA62" s="5" t="s">
        <v>771</v>
      </c>
    </row>
    <row r="63" spans="1:28" x14ac:dyDescent="0.2">
      <c r="A63" s="5">
        <v>102047</v>
      </c>
      <c r="B63" s="5" t="s">
        <v>713</v>
      </c>
      <c r="C63" s="5">
        <v>170</v>
      </c>
      <c r="D63" s="5">
        <v>219</v>
      </c>
      <c r="E63" s="5">
        <v>69</v>
      </c>
      <c r="F63" s="5">
        <v>73</v>
      </c>
      <c r="G63" s="5">
        <v>32</v>
      </c>
      <c r="H63" s="5">
        <v>40</v>
      </c>
      <c r="I63" s="5">
        <v>52</v>
      </c>
      <c r="J63" s="5">
        <f>SUM(E63:I63)</f>
        <v>266</v>
      </c>
      <c r="K63" s="5">
        <v>310</v>
      </c>
      <c r="L63" s="5">
        <v>2</v>
      </c>
      <c r="M63" s="5" t="s">
        <v>727</v>
      </c>
      <c r="N63" s="5">
        <v>10</v>
      </c>
      <c r="O63" s="5">
        <v>17</v>
      </c>
      <c r="P63" s="5"/>
      <c r="Q63" s="5"/>
      <c r="R63" s="5">
        <f>MAX(25, INT(POWER(2.2,J63/45)))</f>
        <v>105</v>
      </c>
      <c r="S63" s="5">
        <v>0</v>
      </c>
      <c r="T63" s="5">
        <v>1</v>
      </c>
      <c r="U63" s="5" t="s">
        <v>298</v>
      </c>
      <c r="V63" s="5"/>
      <c r="W63" s="5"/>
      <c r="X63" s="5"/>
      <c r="Y63" s="5" t="s">
        <v>185</v>
      </c>
      <c r="Z63" s="10" t="s">
        <v>337</v>
      </c>
      <c r="AA63" s="5" t="s">
        <v>772</v>
      </c>
    </row>
    <row r="64" spans="1:28" x14ac:dyDescent="0.2">
      <c r="A64" s="5">
        <v>102048</v>
      </c>
      <c r="B64" s="5" t="s">
        <v>955</v>
      </c>
      <c r="C64" s="5">
        <v>163</v>
      </c>
      <c r="D64" s="5">
        <v>224</v>
      </c>
      <c r="E64" s="5">
        <v>66</v>
      </c>
      <c r="F64" s="5">
        <v>32</v>
      </c>
      <c r="G64" s="5">
        <v>74</v>
      </c>
      <c r="H64" s="5">
        <v>87</v>
      </c>
      <c r="I64" s="5">
        <v>76</v>
      </c>
      <c r="J64" s="5">
        <f>SUM(E64:I64)</f>
        <v>335</v>
      </c>
      <c r="K64" s="5">
        <v>310</v>
      </c>
      <c r="L64" s="5">
        <v>2</v>
      </c>
      <c r="M64" s="5" t="s">
        <v>727</v>
      </c>
      <c r="N64" s="5">
        <v>10</v>
      </c>
      <c r="O64" s="5">
        <v>17</v>
      </c>
      <c r="P64" s="5"/>
      <c r="Q64" s="5"/>
      <c r="R64" s="5">
        <f>MAX(25, INT(POWER(2.2,J64/45)))</f>
        <v>354</v>
      </c>
      <c r="S64" s="5">
        <v>0</v>
      </c>
      <c r="T64" s="5">
        <v>1</v>
      </c>
      <c r="U64" s="5" t="s">
        <v>298</v>
      </c>
      <c r="V64" s="5"/>
      <c r="W64" s="5"/>
      <c r="X64" s="5"/>
      <c r="Y64" s="5" t="s">
        <v>185</v>
      </c>
      <c r="Z64" s="10" t="s">
        <v>337</v>
      </c>
      <c r="AA64" s="5" t="s">
        <v>773</v>
      </c>
    </row>
    <row r="65" spans="1:27" x14ac:dyDescent="0.2">
      <c r="A65" s="5">
        <v>102049</v>
      </c>
      <c r="B65" s="5" t="s">
        <v>956</v>
      </c>
      <c r="C65" s="5">
        <v>174</v>
      </c>
      <c r="D65" s="5">
        <v>208</v>
      </c>
      <c r="E65" s="5">
        <v>64</v>
      </c>
      <c r="F65" s="5">
        <v>49</v>
      </c>
      <c r="G65" s="5">
        <v>73</v>
      </c>
      <c r="H65" s="5">
        <v>89</v>
      </c>
      <c r="I65" s="5">
        <v>83</v>
      </c>
      <c r="J65" s="5">
        <f>SUM(E65:I65)</f>
        <v>358</v>
      </c>
      <c r="K65" s="5">
        <v>310</v>
      </c>
      <c r="L65" s="5">
        <v>2</v>
      </c>
      <c r="M65" s="5" t="s">
        <v>727</v>
      </c>
      <c r="N65" s="5">
        <v>10</v>
      </c>
      <c r="O65" s="5">
        <v>17</v>
      </c>
      <c r="P65" s="5"/>
      <c r="Q65" s="5"/>
      <c r="R65" s="5">
        <f>MAX(25, INT(POWER(2.2,J65/45)))</f>
        <v>529</v>
      </c>
      <c r="S65" s="5">
        <v>0</v>
      </c>
      <c r="T65" s="5">
        <v>1</v>
      </c>
      <c r="U65" s="5" t="s">
        <v>298</v>
      </c>
      <c r="V65" s="5"/>
      <c r="W65" s="5"/>
      <c r="X65" s="5"/>
      <c r="Y65" s="5" t="s">
        <v>185</v>
      </c>
      <c r="Z65" s="10" t="s">
        <v>337</v>
      </c>
      <c r="AA65" s="5" t="s">
        <v>774</v>
      </c>
    </row>
    <row r="66" spans="1:27" x14ac:dyDescent="0.2">
      <c r="A66" s="5">
        <v>102050</v>
      </c>
      <c r="B66" s="5" t="s">
        <v>714</v>
      </c>
      <c r="C66" s="5">
        <v>175</v>
      </c>
      <c r="D66" s="5">
        <v>219</v>
      </c>
      <c r="E66" s="5">
        <v>63</v>
      </c>
      <c r="F66" s="5">
        <v>71</v>
      </c>
      <c r="G66" s="5">
        <v>51</v>
      </c>
      <c r="H66" s="5">
        <v>44</v>
      </c>
      <c r="I66" s="5">
        <v>70</v>
      </c>
      <c r="J66" s="5">
        <f>SUM(E66:I66)</f>
        <v>299</v>
      </c>
      <c r="K66" s="5">
        <v>310</v>
      </c>
      <c r="L66" s="5">
        <v>2</v>
      </c>
      <c r="M66" s="5" t="s">
        <v>727</v>
      </c>
      <c r="N66" s="5">
        <v>10</v>
      </c>
      <c r="O66" s="5">
        <v>17</v>
      </c>
      <c r="P66" s="5"/>
      <c r="Q66" s="5"/>
      <c r="R66" s="5">
        <f>MAX(25, INT(POWER(2.2,J66/45)))</f>
        <v>188</v>
      </c>
      <c r="S66" s="5">
        <v>0</v>
      </c>
      <c r="T66" s="5">
        <v>1</v>
      </c>
      <c r="U66" s="5" t="s">
        <v>298</v>
      </c>
      <c r="V66" s="5"/>
      <c r="W66" s="5"/>
      <c r="X66" s="5"/>
      <c r="Y66" s="5" t="s">
        <v>185</v>
      </c>
      <c r="Z66" s="10" t="s">
        <v>337</v>
      </c>
      <c r="AA66" s="5" t="s">
        <v>775</v>
      </c>
    </row>
    <row r="67" spans="1:27" x14ac:dyDescent="0.2">
      <c r="A67" s="5">
        <v>102051</v>
      </c>
      <c r="B67" s="5" t="s">
        <v>715</v>
      </c>
      <c r="C67" s="5">
        <v>171</v>
      </c>
      <c r="D67" s="5">
        <v>223</v>
      </c>
      <c r="E67" s="5">
        <v>62</v>
      </c>
      <c r="F67" s="5">
        <v>36</v>
      </c>
      <c r="G67" s="5">
        <v>73</v>
      </c>
      <c r="H67" s="5">
        <v>86</v>
      </c>
      <c r="I67" s="5">
        <v>76</v>
      </c>
      <c r="J67" s="5">
        <f>SUM(E67:I67)</f>
        <v>333</v>
      </c>
      <c r="K67" s="5">
        <v>310</v>
      </c>
      <c r="L67" s="5">
        <v>2</v>
      </c>
      <c r="M67" s="5" t="s">
        <v>730</v>
      </c>
      <c r="N67" s="5">
        <v>10</v>
      </c>
      <c r="O67" s="5">
        <v>17</v>
      </c>
      <c r="P67" s="5"/>
      <c r="Q67" s="5"/>
      <c r="R67" s="5">
        <f>MAX(25, INT(POWER(2.2,J67/45)))</f>
        <v>341</v>
      </c>
      <c r="S67" s="5">
        <v>0</v>
      </c>
      <c r="T67" s="5">
        <v>1</v>
      </c>
      <c r="U67" s="5" t="s">
        <v>298</v>
      </c>
      <c r="V67" s="5"/>
      <c r="W67" s="5"/>
      <c r="X67" s="5"/>
      <c r="Y67" s="5" t="s">
        <v>185</v>
      </c>
      <c r="Z67" s="10" t="s">
        <v>337</v>
      </c>
      <c r="AA67" s="5" t="s">
        <v>776</v>
      </c>
    </row>
    <row r="68" spans="1:27" x14ac:dyDescent="0.2">
      <c r="A68" s="5">
        <v>102052</v>
      </c>
      <c r="B68" s="5" t="s">
        <v>957</v>
      </c>
      <c r="C68" s="5">
        <v>165</v>
      </c>
      <c r="D68" s="5">
        <v>216</v>
      </c>
      <c r="E68" s="5">
        <v>62</v>
      </c>
      <c r="F68" s="5">
        <v>38</v>
      </c>
      <c r="G68" s="5">
        <v>58</v>
      </c>
      <c r="H68" s="5">
        <v>79</v>
      </c>
      <c r="I68" s="5">
        <v>60</v>
      </c>
      <c r="J68" s="5">
        <f>SUM(E68:I68)</f>
        <v>297</v>
      </c>
      <c r="K68" s="5">
        <v>310</v>
      </c>
      <c r="L68" s="5">
        <v>2</v>
      </c>
      <c r="M68" s="5" t="s">
        <v>730</v>
      </c>
      <c r="N68" s="5">
        <v>10</v>
      </c>
      <c r="O68" s="5">
        <v>17</v>
      </c>
      <c r="P68" s="5"/>
      <c r="Q68" s="5"/>
      <c r="R68" s="5">
        <f>MAX(25, INT(POWER(2.2,J68/45)))</f>
        <v>181</v>
      </c>
      <c r="S68" s="5">
        <v>0</v>
      </c>
      <c r="T68" s="5">
        <v>1</v>
      </c>
      <c r="U68" s="5" t="s">
        <v>298</v>
      </c>
      <c r="V68" s="5"/>
      <c r="W68" s="5"/>
      <c r="X68" s="5"/>
      <c r="Y68" s="5" t="s">
        <v>185</v>
      </c>
      <c r="Z68" s="10" t="s">
        <v>337</v>
      </c>
      <c r="AA68" s="5" t="s">
        <v>777</v>
      </c>
    </row>
    <row r="69" spans="1:27" x14ac:dyDescent="0.2">
      <c r="A69" s="5">
        <v>102053</v>
      </c>
      <c r="B69" s="5" t="s">
        <v>716</v>
      </c>
      <c r="C69" s="5">
        <v>169</v>
      </c>
      <c r="D69" s="5">
        <v>237</v>
      </c>
      <c r="E69" s="5">
        <v>61</v>
      </c>
      <c r="F69" s="5">
        <v>27</v>
      </c>
      <c r="G69" s="5">
        <v>76</v>
      </c>
      <c r="H69" s="5">
        <v>83</v>
      </c>
      <c r="I69" s="5">
        <v>64</v>
      </c>
      <c r="J69" s="5">
        <f>SUM(E69:I69)</f>
        <v>311</v>
      </c>
      <c r="K69" s="5">
        <v>310</v>
      </c>
      <c r="L69" s="5">
        <v>2</v>
      </c>
      <c r="M69" s="5" t="s">
        <v>726</v>
      </c>
      <c r="N69" s="5">
        <v>10</v>
      </c>
      <c r="O69" s="5">
        <v>17</v>
      </c>
      <c r="P69" s="5"/>
      <c r="Q69" s="5"/>
      <c r="R69" s="5">
        <f>MAX(25, INT(POWER(2.2,J69/45)))</f>
        <v>232</v>
      </c>
      <c r="S69" s="5">
        <v>0</v>
      </c>
      <c r="T69" s="5">
        <v>1</v>
      </c>
      <c r="U69" s="5" t="s">
        <v>298</v>
      </c>
      <c r="V69" s="5"/>
      <c r="W69" s="5"/>
      <c r="X69" s="5"/>
      <c r="Y69" s="5" t="s">
        <v>185</v>
      </c>
      <c r="Z69" s="10" t="s">
        <v>337</v>
      </c>
      <c r="AA69" s="5" t="s">
        <v>778</v>
      </c>
    </row>
    <row r="70" spans="1:27" x14ac:dyDescent="0.2">
      <c r="A70" s="5">
        <v>102054</v>
      </c>
      <c r="B70" s="5" t="s">
        <v>958</v>
      </c>
      <c r="C70" s="5">
        <v>168</v>
      </c>
      <c r="D70" s="5">
        <v>227</v>
      </c>
      <c r="E70" s="5">
        <v>57</v>
      </c>
      <c r="F70" s="5">
        <v>70</v>
      </c>
      <c r="G70" s="5">
        <v>58</v>
      </c>
      <c r="H70" s="5">
        <v>74</v>
      </c>
      <c r="I70" s="5">
        <v>60</v>
      </c>
      <c r="J70" s="5">
        <f>SUM(E70:I70)</f>
        <v>319</v>
      </c>
      <c r="K70" s="5">
        <v>310</v>
      </c>
      <c r="L70" s="5">
        <v>2</v>
      </c>
      <c r="M70" s="5" t="s">
        <v>726</v>
      </c>
      <c r="N70" s="5">
        <v>10</v>
      </c>
      <c r="O70" s="5">
        <v>17</v>
      </c>
      <c r="P70" s="5"/>
      <c r="Q70" s="5"/>
      <c r="R70" s="5">
        <f>MAX(25, INT(POWER(2.2,J70/45)))</f>
        <v>267</v>
      </c>
      <c r="S70" s="5">
        <v>0</v>
      </c>
      <c r="T70" s="5">
        <v>1</v>
      </c>
      <c r="U70" s="5" t="s">
        <v>298</v>
      </c>
      <c r="V70" s="5"/>
      <c r="W70" s="5"/>
      <c r="X70" s="5"/>
      <c r="Y70" s="5" t="s">
        <v>185</v>
      </c>
      <c r="Z70" s="10" t="s">
        <v>337</v>
      </c>
      <c r="AA70" s="5" t="s">
        <v>779</v>
      </c>
    </row>
    <row r="71" spans="1:27" x14ac:dyDescent="0.2">
      <c r="A71" s="5">
        <v>102055</v>
      </c>
      <c r="B71" s="5" t="s">
        <v>959</v>
      </c>
      <c r="C71" s="5">
        <v>171</v>
      </c>
      <c r="D71" s="5">
        <v>249</v>
      </c>
      <c r="E71" s="5">
        <v>55</v>
      </c>
      <c r="F71" s="5">
        <v>32</v>
      </c>
      <c r="G71" s="5">
        <v>67</v>
      </c>
      <c r="H71" s="5">
        <v>82</v>
      </c>
      <c r="I71" s="5">
        <v>79</v>
      </c>
      <c r="J71" s="5">
        <f>SUM(E71:I71)</f>
        <v>315</v>
      </c>
      <c r="K71" s="5">
        <v>310</v>
      </c>
      <c r="L71" s="5">
        <v>2</v>
      </c>
      <c r="M71" s="5" t="s">
        <v>728</v>
      </c>
      <c r="N71" s="5">
        <v>10</v>
      </c>
      <c r="O71" s="5">
        <v>17</v>
      </c>
      <c r="P71" s="5"/>
      <c r="Q71" s="5"/>
      <c r="R71" s="5">
        <f>MAX(25, INT(POWER(2.2,J71/45)))</f>
        <v>249</v>
      </c>
      <c r="S71" s="5">
        <v>0</v>
      </c>
      <c r="T71" s="5">
        <v>1</v>
      </c>
      <c r="U71" s="5" t="s">
        <v>298</v>
      </c>
      <c r="V71" s="5"/>
      <c r="W71" s="5"/>
      <c r="X71" s="5"/>
      <c r="Y71" s="5" t="s">
        <v>185</v>
      </c>
      <c r="Z71" s="10" t="s">
        <v>337</v>
      </c>
      <c r="AA71" s="5" t="s">
        <v>780</v>
      </c>
    </row>
    <row r="72" spans="1:27" x14ac:dyDescent="0.2">
      <c r="A72" s="5">
        <v>102056</v>
      </c>
      <c r="B72" s="5" t="s">
        <v>717</v>
      </c>
      <c r="C72" s="5">
        <v>170</v>
      </c>
      <c r="D72" s="5">
        <v>217</v>
      </c>
      <c r="E72" s="5">
        <v>54</v>
      </c>
      <c r="F72" s="5">
        <v>27</v>
      </c>
      <c r="G72" s="5">
        <v>76</v>
      </c>
      <c r="H72" s="5">
        <v>79</v>
      </c>
      <c r="I72" s="5">
        <v>63</v>
      </c>
      <c r="J72" s="5">
        <f>SUM(E72:I72)</f>
        <v>299</v>
      </c>
      <c r="K72" s="5">
        <v>310</v>
      </c>
      <c r="L72" s="5">
        <v>2</v>
      </c>
      <c r="M72" s="5" t="s">
        <v>725</v>
      </c>
      <c r="N72" s="5">
        <v>10</v>
      </c>
      <c r="O72" s="5">
        <v>17</v>
      </c>
      <c r="P72" s="5"/>
      <c r="Q72" s="5"/>
      <c r="R72" s="5">
        <f>MAX(25, INT(POWER(2.2,J72/45)))</f>
        <v>188</v>
      </c>
      <c r="S72" s="5">
        <v>0</v>
      </c>
      <c r="T72" s="5">
        <v>1</v>
      </c>
      <c r="U72" s="5" t="s">
        <v>298</v>
      </c>
      <c r="V72" s="5"/>
      <c r="W72" s="5"/>
      <c r="X72" s="5"/>
      <c r="Y72" s="5" t="s">
        <v>185</v>
      </c>
      <c r="Z72" s="10" t="s">
        <v>337</v>
      </c>
      <c r="AA72" s="5" t="s">
        <v>781</v>
      </c>
    </row>
    <row r="73" spans="1:27" x14ac:dyDescent="0.2">
      <c r="A73" s="5">
        <v>102057</v>
      </c>
      <c r="B73" s="5" t="s">
        <v>718</v>
      </c>
      <c r="C73" s="5">
        <v>170</v>
      </c>
      <c r="D73" s="5">
        <v>215</v>
      </c>
      <c r="E73" s="5">
        <v>49</v>
      </c>
      <c r="F73" s="5">
        <v>18</v>
      </c>
      <c r="G73" s="5">
        <v>70</v>
      </c>
      <c r="H73" s="5">
        <v>85</v>
      </c>
      <c r="I73" s="5">
        <v>73</v>
      </c>
      <c r="J73" s="5">
        <f>SUM(E73:I73)</f>
        <v>295</v>
      </c>
      <c r="K73" s="5">
        <v>310</v>
      </c>
      <c r="L73" s="5">
        <v>2</v>
      </c>
      <c r="M73" s="5" t="s">
        <v>726</v>
      </c>
      <c r="N73" s="5">
        <v>10</v>
      </c>
      <c r="O73" s="5">
        <v>17</v>
      </c>
      <c r="P73" s="5"/>
      <c r="Q73" s="5"/>
      <c r="R73" s="5">
        <f>MAX(25, INT(POWER(2.2,J73/45)))</f>
        <v>175</v>
      </c>
      <c r="S73" s="5">
        <v>0</v>
      </c>
      <c r="T73" s="5">
        <v>1</v>
      </c>
      <c r="U73" s="5" t="s">
        <v>298</v>
      </c>
      <c r="V73" s="5"/>
      <c r="W73" s="5"/>
      <c r="X73" s="5"/>
      <c r="Y73" s="5" t="s">
        <v>185</v>
      </c>
      <c r="Z73" s="10" t="s">
        <v>337</v>
      </c>
      <c r="AA73" s="5" t="s">
        <v>782</v>
      </c>
    </row>
    <row r="74" spans="1:27" x14ac:dyDescent="0.2">
      <c r="A74" s="5">
        <v>102058</v>
      </c>
      <c r="B74" s="5" t="s">
        <v>914</v>
      </c>
      <c r="C74" s="5">
        <v>170</v>
      </c>
      <c r="D74" s="5">
        <v>220</v>
      </c>
      <c r="E74" s="5">
        <v>49</v>
      </c>
      <c r="F74" s="5">
        <v>71</v>
      </c>
      <c r="G74" s="5">
        <v>38</v>
      </c>
      <c r="H74" s="5">
        <v>25</v>
      </c>
      <c r="I74" s="5">
        <v>50</v>
      </c>
      <c r="J74" s="5">
        <f>SUM(E74:I74)</f>
        <v>233</v>
      </c>
      <c r="K74" s="5">
        <v>310</v>
      </c>
      <c r="L74" s="5">
        <v>2</v>
      </c>
      <c r="M74" s="5" t="s">
        <v>727</v>
      </c>
      <c r="N74" s="5">
        <v>10</v>
      </c>
      <c r="O74" s="5">
        <v>17</v>
      </c>
      <c r="P74" s="5"/>
      <c r="Q74" s="5"/>
      <c r="R74" s="5">
        <f>MAX(25, INT(POWER(2.2,J74/45)))</f>
        <v>59</v>
      </c>
      <c r="S74" s="5">
        <v>0</v>
      </c>
      <c r="T74" s="5">
        <v>1</v>
      </c>
      <c r="U74" s="5" t="s">
        <v>298</v>
      </c>
      <c r="V74" s="5"/>
      <c r="W74" s="5"/>
      <c r="X74" s="5"/>
      <c r="Y74" s="5" t="s">
        <v>185</v>
      </c>
      <c r="Z74" s="10" t="s">
        <v>337</v>
      </c>
      <c r="AA74" s="5" t="s">
        <v>915</v>
      </c>
    </row>
    <row r="75" spans="1:27" x14ac:dyDescent="0.2">
      <c r="A75" s="5">
        <v>102059</v>
      </c>
      <c r="B75" s="5" t="s">
        <v>719</v>
      </c>
      <c r="C75" s="5">
        <v>165</v>
      </c>
      <c r="D75" s="5">
        <v>201</v>
      </c>
      <c r="E75" s="5">
        <v>48</v>
      </c>
      <c r="F75" s="5">
        <v>12</v>
      </c>
      <c r="G75" s="5">
        <v>81</v>
      </c>
      <c r="H75" s="5">
        <v>63</v>
      </c>
      <c r="I75" s="5">
        <v>14</v>
      </c>
      <c r="J75" s="5">
        <f>SUM(E75:I75)</f>
        <v>218</v>
      </c>
      <c r="K75" s="5">
        <v>310</v>
      </c>
      <c r="L75" s="5">
        <v>2</v>
      </c>
      <c r="M75" s="5" t="s">
        <v>726</v>
      </c>
      <c r="N75" s="5">
        <v>10</v>
      </c>
      <c r="O75" s="5">
        <v>17</v>
      </c>
      <c r="P75" s="5"/>
      <c r="Q75" s="5"/>
      <c r="R75" s="5">
        <f>MAX(25, INT(POWER(2.2,J75/45)))</f>
        <v>45</v>
      </c>
      <c r="S75" s="5">
        <v>0</v>
      </c>
      <c r="T75" s="5">
        <v>1</v>
      </c>
      <c r="U75" s="5" t="s">
        <v>298</v>
      </c>
      <c r="V75" s="5"/>
      <c r="W75" s="5"/>
      <c r="X75" s="5"/>
      <c r="Y75" s="5" t="s">
        <v>185</v>
      </c>
      <c r="Z75" s="10" t="s">
        <v>337</v>
      </c>
      <c r="AA75" s="5" t="s">
        <v>783</v>
      </c>
    </row>
    <row r="76" spans="1:27" x14ac:dyDescent="0.2">
      <c r="A76" s="5">
        <v>102060</v>
      </c>
      <c r="B76" s="5" t="s">
        <v>720</v>
      </c>
      <c r="C76" s="5">
        <v>152</v>
      </c>
      <c r="D76" s="5">
        <v>228</v>
      </c>
      <c r="E76" s="5">
        <v>46</v>
      </c>
      <c r="F76" s="5">
        <v>34</v>
      </c>
      <c r="G76" s="5">
        <v>79</v>
      </c>
      <c r="H76" s="5">
        <v>84</v>
      </c>
      <c r="I76" s="5">
        <v>51</v>
      </c>
      <c r="J76" s="5">
        <f>SUM(E76:I76)</f>
        <v>294</v>
      </c>
      <c r="K76" s="5">
        <v>310</v>
      </c>
      <c r="L76" s="5">
        <v>2</v>
      </c>
      <c r="M76" s="5" t="s">
        <v>728</v>
      </c>
      <c r="N76" s="5">
        <v>10</v>
      </c>
      <c r="O76" s="5">
        <v>17</v>
      </c>
      <c r="P76" s="5"/>
      <c r="Q76" s="5"/>
      <c r="R76" s="5">
        <f>MAX(25, INT(POWER(2.2,J76/45)))</f>
        <v>172</v>
      </c>
      <c r="S76" s="5">
        <v>0</v>
      </c>
      <c r="T76" s="5">
        <v>1</v>
      </c>
      <c r="U76" s="5" t="s">
        <v>298</v>
      </c>
      <c r="V76" s="5"/>
      <c r="W76" s="5"/>
      <c r="X76" s="5"/>
      <c r="Y76" s="5" t="s">
        <v>185</v>
      </c>
      <c r="Z76" s="10" t="s">
        <v>337</v>
      </c>
      <c r="AA76" s="5" t="s">
        <v>784</v>
      </c>
    </row>
    <row r="77" spans="1:27" x14ac:dyDescent="0.2">
      <c r="A77" s="5">
        <v>102061</v>
      </c>
      <c r="B77" s="5" t="s">
        <v>960</v>
      </c>
      <c r="C77" s="5">
        <v>159</v>
      </c>
      <c r="D77" s="5">
        <v>230</v>
      </c>
      <c r="E77" s="5">
        <v>35</v>
      </c>
      <c r="F77" s="5">
        <v>23</v>
      </c>
      <c r="G77" s="5">
        <v>74</v>
      </c>
      <c r="H77" s="5">
        <v>76</v>
      </c>
      <c r="I77" s="5">
        <v>87</v>
      </c>
      <c r="J77" s="5">
        <f>SUM(E77:I77)</f>
        <v>295</v>
      </c>
      <c r="K77" s="5">
        <v>310</v>
      </c>
      <c r="L77" s="5">
        <v>2</v>
      </c>
      <c r="M77" s="5" t="s">
        <v>725</v>
      </c>
      <c r="N77" s="5">
        <v>10</v>
      </c>
      <c r="O77" s="5">
        <v>17</v>
      </c>
      <c r="P77" s="5"/>
      <c r="Q77" s="5"/>
      <c r="R77" s="5">
        <f>MAX(25, INT(POWER(2.2,J77/45)))</f>
        <v>175</v>
      </c>
      <c r="S77" s="5">
        <v>0</v>
      </c>
      <c r="T77" s="5">
        <v>1</v>
      </c>
      <c r="U77" s="5" t="s">
        <v>298</v>
      </c>
      <c r="V77" s="5"/>
      <c r="W77" s="5"/>
      <c r="X77" s="5"/>
      <c r="Y77" s="5" t="s">
        <v>185</v>
      </c>
      <c r="Z77" s="10" t="s">
        <v>337</v>
      </c>
      <c r="AA77" s="5" t="s">
        <v>785</v>
      </c>
    </row>
    <row r="78" spans="1:27" x14ac:dyDescent="0.2">
      <c r="A78" s="5">
        <v>102063</v>
      </c>
      <c r="B78" s="5" t="s">
        <v>916</v>
      </c>
      <c r="C78" s="5">
        <v>170</v>
      </c>
      <c r="D78" s="5">
        <v>230</v>
      </c>
      <c r="E78" s="5">
        <v>30</v>
      </c>
      <c r="F78" s="5">
        <v>35</v>
      </c>
      <c r="G78" s="5">
        <v>73</v>
      </c>
      <c r="H78" s="5">
        <v>72</v>
      </c>
      <c r="I78" s="5">
        <v>68</v>
      </c>
      <c r="J78" s="5">
        <f>SUM(E78:I78)</f>
        <v>278</v>
      </c>
      <c r="K78" s="5">
        <v>310</v>
      </c>
      <c r="L78" s="5">
        <v>2</v>
      </c>
      <c r="M78" s="5" t="s">
        <v>730</v>
      </c>
      <c r="N78" s="5">
        <v>10</v>
      </c>
      <c r="O78" s="5">
        <v>17</v>
      </c>
      <c r="P78" s="5"/>
      <c r="Q78" s="5"/>
      <c r="R78" s="5">
        <f>MAX(25, INT(POWER(2.2,J78/45)))</f>
        <v>130</v>
      </c>
      <c r="S78" s="5">
        <v>0</v>
      </c>
      <c r="T78" s="5">
        <v>1</v>
      </c>
      <c r="U78" s="5" t="s">
        <v>298</v>
      </c>
      <c r="V78" s="5"/>
      <c r="W78" s="5"/>
      <c r="X78" s="5"/>
      <c r="Y78" s="5" t="s">
        <v>185</v>
      </c>
      <c r="Z78" s="10" t="s">
        <v>337</v>
      </c>
      <c r="AA78" s="5" t="s">
        <v>921</v>
      </c>
    </row>
    <row r="79" spans="1:27" x14ac:dyDescent="0.2">
      <c r="A79" s="5">
        <v>102065</v>
      </c>
      <c r="B79" s="5" t="s">
        <v>721</v>
      </c>
      <c r="C79" s="5">
        <v>153</v>
      </c>
      <c r="D79" s="5">
        <v>208</v>
      </c>
      <c r="E79" s="5">
        <v>29</v>
      </c>
      <c r="F79" s="5">
        <v>4</v>
      </c>
      <c r="G79" s="5">
        <v>69</v>
      </c>
      <c r="H79" s="5">
        <v>76</v>
      </c>
      <c r="I79" s="5">
        <v>63</v>
      </c>
      <c r="J79" s="5">
        <f>SUM(E79:I79)</f>
        <v>241</v>
      </c>
      <c r="K79" s="5">
        <v>310</v>
      </c>
      <c r="L79" s="5">
        <v>2</v>
      </c>
      <c r="M79" s="5" t="s">
        <v>731</v>
      </c>
      <c r="N79" s="5">
        <v>10</v>
      </c>
      <c r="O79" s="5">
        <v>17</v>
      </c>
      <c r="P79" s="5"/>
      <c r="Q79" s="5"/>
      <c r="R79" s="5">
        <f>MAX(25, INT(POWER(2.2,J79/45)))</f>
        <v>68</v>
      </c>
      <c r="S79" s="5">
        <v>0</v>
      </c>
      <c r="T79" s="5">
        <v>1</v>
      </c>
      <c r="U79" s="5" t="s">
        <v>298</v>
      </c>
      <c r="V79" s="5"/>
      <c r="W79" s="5"/>
      <c r="X79" s="5"/>
      <c r="Y79" s="5" t="s">
        <v>185</v>
      </c>
      <c r="Z79" s="10" t="s">
        <v>337</v>
      </c>
      <c r="AA79" s="5" t="s">
        <v>786</v>
      </c>
    </row>
    <row r="80" spans="1:27" x14ac:dyDescent="0.2">
      <c r="A80" s="5">
        <v>102066</v>
      </c>
      <c r="B80" s="5" t="s">
        <v>722</v>
      </c>
      <c r="C80" s="5">
        <v>171</v>
      </c>
      <c r="D80" s="5">
        <v>217</v>
      </c>
      <c r="E80" s="5">
        <v>20</v>
      </c>
      <c r="F80" s="5">
        <v>21</v>
      </c>
      <c r="G80" s="5">
        <v>71</v>
      </c>
      <c r="H80" s="5">
        <v>84</v>
      </c>
      <c r="I80" s="5">
        <v>81</v>
      </c>
      <c r="J80" s="5">
        <f>SUM(E80:I80)</f>
        <v>277</v>
      </c>
      <c r="K80" s="5">
        <v>310</v>
      </c>
      <c r="L80" s="5">
        <v>2</v>
      </c>
      <c r="M80" s="5" t="s">
        <v>727</v>
      </c>
      <c r="N80" s="5">
        <v>10</v>
      </c>
      <c r="O80" s="5">
        <v>17</v>
      </c>
      <c r="P80" s="5"/>
      <c r="Q80" s="5"/>
      <c r="R80" s="5">
        <f>MAX(25, INT(POWER(2.2,J80/45)))</f>
        <v>128</v>
      </c>
      <c r="S80" s="5">
        <v>0</v>
      </c>
      <c r="T80" s="5">
        <v>1</v>
      </c>
      <c r="U80" s="5" t="s">
        <v>298</v>
      </c>
      <c r="V80" s="5"/>
      <c r="W80" s="5"/>
      <c r="X80" s="5"/>
      <c r="Y80" s="5" t="s">
        <v>185</v>
      </c>
      <c r="Z80" s="10" t="s">
        <v>337</v>
      </c>
      <c r="AA80" s="5" t="s">
        <v>787</v>
      </c>
    </row>
    <row r="81" spans="1:28" x14ac:dyDescent="0.2">
      <c r="A81" s="5">
        <v>102067</v>
      </c>
      <c r="B81" s="5" t="s">
        <v>917</v>
      </c>
      <c r="C81" s="5">
        <v>185</v>
      </c>
      <c r="D81" s="5">
        <v>220</v>
      </c>
      <c r="E81" s="5">
        <v>19</v>
      </c>
      <c r="F81" s="5">
        <v>27</v>
      </c>
      <c r="G81" s="5">
        <v>66</v>
      </c>
      <c r="H81" s="5">
        <v>72</v>
      </c>
      <c r="I81" s="5">
        <v>44</v>
      </c>
      <c r="J81" s="5">
        <f>SUM(E81:I81)</f>
        <v>228</v>
      </c>
      <c r="K81" s="5">
        <v>310</v>
      </c>
      <c r="L81" s="5">
        <v>2</v>
      </c>
      <c r="M81" s="5" t="s">
        <v>727</v>
      </c>
      <c r="N81" s="5">
        <v>10</v>
      </c>
      <c r="O81" s="5">
        <v>17</v>
      </c>
      <c r="P81" s="5"/>
      <c r="Q81" s="5"/>
      <c r="R81" s="5">
        <f>MAX(25, INT(POWER(2.2,J81/45)))</f>
        <v>54</v>
      </c>
      <c r="S81" s="5">
        <v>0</v>
      </c>
      <c r="T81" s="5">
        <v>1</v>
      </c>
      <c r="U81" s="5" t="s">
        <v>298</v>
      </c>
      <c r="V81" s="5"/>
      <c r="W81" s="5"/>
      <c r="X81" s="5"/>
      <c r="Y81" s="5" t="s">
        <v>185</v>
      </c>
      <c r="Z81" s="10" t="s">
        <v>337</v>
      </c>
      <c r="AA81" s="5" t="s">
        <v>918</v>
      </c>
    </row>
    <row r="82" spans="1:28" x14ac:dyDescent="0.2">
      <c r="A82" s="5">
        <v>102068</v>
      </c>
      <c r="B82" s="5" t="s">
        <v>723</v>
      </c>
      <c r="C82" s="5">
        <v>156</v>
      </c>
      <c r="D82" s="5">
        <v>236</v>
      </c>
      <c r="E82" s="5">
        <v>18</v>
      </c>
      <c r="F82" s="5">
        <v>24</v>
      </c>
      <c r="G82" s="5">
        <v>78</v>
      </c>
      <c r="H82" s="5">
        <v>83</v>
      </c>
      <c r="I82" s="5">
        <v>57</v>
      </c>
      <c r="J82" s="5">
        <f>SUM(E82:I82)</f>
        <v>260</v>
      </c>
      <c r="K82" s="5">
        <v>310</v>
      </c>
      <c r="L82" s="5">
        <v>2</v>
      </c>
      <c r="M82" s="5" t="s">
        <v>729</v>
      </c>
      <c r="N82" s="5">
        <v>10</v>
      </c>
      <c r="O82" s="5">
        <v>17</v>
      </c>
      <c r="P82" s="5"/>
      <c r="Q82" s="5"/>
      <c r="R82" s="5">
        <f>MAX(25, INT(POWER(2.2,J82/45)))</f>
        <v>95</v>
      </c>
      <c r="S82" s="5">
        <v>0</v>
      </c>
      <c r="T82" s="5">
        <v>1</v>
      </c>
      <c r="U82" s="5" t="s">
        <v>298</v>
      </c>
      <c r="V82" s="5"/>
      <c r="W82" s="5"/>
      <c r="X82" s="5"/>
      <c r="Y82" s="5" t="s">
        <v>185</v>
      </c>
      <c r="Z82" s="10" t="s">
        <v>337</v>
      </c>
      <c r="AA82" s="5" t="s">
        <v>788</v>
      </c>
    </row>
    <row r="83" spans="1:28" x14ac:dyDescent="0.2">
      <c r="A83" s="5">
        <v>102070</v>
      </c>
      <c r="B83" s="5" t="s">
        <v>919</v>
      </c>
      <c r="C83" s="5">
        <v>163</v>
      </c>
      <c r="D83" s="5">
        <v>216</v>
      </c>
      <c r="E83" s="5">
        <v>17</v>
      </c>
      <c r="F83" s="5">
        <v>54</v>
      </c>
      <c r="G83" s="5">
        <v>69</v>
      </c>
      <c r="H83" s="5">
        <v>84</v>
      </c>
      <c r="I83" s="5">
        <v>74</v>
      </c>
      <c r="J83" s="5">
        <f>SUM(E83:I83)</f>
        <v>298</v>
      </c>
      <c r="K83" s="5">
        <v>310</v>
      </c>
      <c r="L83" s="5">
        <v>2</v>
      </c>
      <c r="M83" s="5" t="s">
        <v>726</v>
      </c>
      <c r="N83" s="5">
        <v>10</v>
      </c>
      <c r="O83" s="5">
        <v>17</v>
      </c>
      <c r="P83" s="5"/>
      <c r="Q83" s="5"/>
      <c r="R83" s="5">
        <f>MAX(25, INT(POWER(2.2,J83/45)))</f>
        <v>185</v>
      </c>
      <c r="S83" s="5">
        <v>0</v>
      </c>
      <c r="T83" s="5">
        <v>1</v>
      </c>
      <c r="U83" s="5" t="s">
        <v>298</v>
      </c>
      <c r="V83" s="5"/>
      <c r="W83" s="5"/>
      <c r="X83" s="5"/>
      <c r="Y83" s="5" t="s">
        <v>185</v>
      </c>
      <c r="Z83" s="10" t="s">
        <v>337</v>
      </c>
      <c r="AA83" s="5" t="s">
        <v>920</v>
      </c>
    </row>
    <row r="84" spans="1:28" x14ac:dyDescent="0.2">
      <c r="A84" s="5">
        <v>102071</v>
      </c>
      <c r="B84" s="5" t="s">
        <v>927</v>
      </c>
      <c r="C84" s="5">
        <v>178</v>
      </c>
      <c r="D84" s="5">
        <v>230</v>
      </c>
      <c r="E84" s="5">
        <v>16</v>
      </c>
      <c r="F84" s="5">
        <v>29</v>
      </c>
      <c r="G84" s="5">
        <v>68</v>
      </c>
      <c r="H84" s="5">
        <v>57</v>
      </c>
      <c r="I84" s="5">
        <v>37</v>
      </c>
      <c r="J84" s="5">
        <f>SUM(E84:I84)</f>
        <v>207</v>
      </c>
      <c r="K84" s="5">
        <v>310</v>
      </c>
      <c r="L84" s="5">
        <v>2</v>
      </c>
      <c r="M84" s="5" t="s">
        <v>729</v>
      </c>
      <c r="N84" s="5">
        <v>10</v>
      </c>
      <c r="O84" s="5">
        <v>17</v>
      </c>
      <c r="P84" s="5"/>
      <c r="Q84" s="5"/>
      <c r="R84" s="5">
        <f>MAX(25, INT(POWER(2.2,J84/45)))</f>
        <v>37</v>
      </c>
      <c r="S84" s="5">
        <v>0</v>
      </c>
      <c r="T84" s="5">
        <v>1</v>
      </c>
      <c r="U84" s="5" t="s">
        <v>298</v>
      </c>
      <c r="V84" s="5"/>
      <c r="W84" s="5"/>
      <c r="X84" s="5"/>
      <c r="Y84" s="5" t="s">
        <v>185</v>
      </c>
      <c r="Z84" s="10" t="s">
        <v>337</v>
      </c>
      <c r="AA84" s="5" t="s">
        <v>928</v>
      </c>
    </row>
    <row r="85" spans="1:28" x14ac:dyDescent="0.2">
      <c r="A85" s="5">
        <v>102072</v>
      </c>
      <c r="B85" s="5" t="s">
        <v>912</v>
      </c>
      <c r="C85" s="5">
        <v>162</v>
      </c>
      <c r="D85" s="5">
        <v>221</v>
      </c>
      <c r="E85" s="5">
        <v>9</v>
      </c>
      <c r="F85" s="5">
        <v>25</v>
      </c>
      <c r="G85" s="5">
        <v>65</v>
      </c>
      <c r="H85" s="5">
        <v>76</v>
      </c>
      <c r="I85" s="5">
        <v>67</v>
      </c>
      <c r="J85" s="5">
        <f>SUM(E85:I85)</f>
        <v>242</v>
      </c>
      <c r="K85" s="5">
        <v>310</v>
      </c>
      <c r="L85" s="5">
        <v>2</v>
      </c>
      <c r="M85" s="5" t="s">
        <v>726</v>
      </c>
      <c r="N85" s="5">
        <v>10</v>
      </c>
      <c r="O85" s="5">
        <v>17</v>
      </c>
      <c r="P85" s="5"/>
      <c r="Q85" s="5"/>
      <c r="R85" s="5">
        <f>MAX(25, INT(POWER(2.2,J85/45)))</f>
        <v>69</v>
      </c>
      <c r="S85" s="5">
        <v>0</v>
      </c>
      <c r="T85" s="5">
        <v>1</v>
      </c>
      <c r="U85" s="5" t="s">
        <v>298</v>
      </c>
      <c r="V85" s="5"/>
      <c r="W85" s="5"/>
      <c r="X85" s="5"/>
      <c r="Y85" s="5" t="s">
        <v>185</v>
      </c>
      <c r="Z85" s="10" t="s">
        <v>337</v>
      </c>
      <c r="AA85" s="5" t="s">
        <v>922</v>
      </c>
    </row>
    <row r="86" spans="1:28" x14ac:dyDescent="0.2">
      <c r="A86" s="5">
        <v>102073</v>
      </c>
      <c r="B86" s="5" t="s">
        <v>724</v>
      </c>
      <c r="C86" s="5">
        <v>174</v>
      </c>
      <c r="D86" s="5">
        <v>212</v>
      </c>
      <c r="E86" s="5">
        <v>9</v>
      </c>
      <c r="F86" s="5">
        <v>6</v>
      </c>
      <c r="G86" s="5">
        <v>65</v>
      </c>
      <c r="H86" s="5">
        <v>64</v>
      </c>
      <c r="I86" s="5">
        <v>47</v>
      </c>
      <c r="J86" s="5">
        <f>SUM(E86:I86)</f>
        <v>191</v>
      </c>
      <c r="K86" s="5">
        <v>310</v>
      </c>
      <c r="L86" s="5">
        <v>2</v>
      </c>
      <c r="M86" s="5" t="s">
        <v>726</v>
      </c>
      <c r="N86" s="5">
        <v>10</v>
      </c>
      <c r="O86" s="5">
        <v>17</v>
      </c>
      <c r="P86" s="5"/>
      <c r="Q86" s="5"/>
      <c r="R86" s="5">
        <f>MAX(25, INT(POWER(2.2,J86/45)))</f>
        <v>28</v>
      </c>
      <c r="S86" s="5">
        <v>0</v>
      </c>
      <c r="T86" s="5">
        <v>1</v>
      </c>
      <c r="U86" s="5" t="s">
        <v>298</v>
      </c>
      <c r="V86" s="5"/>
      <c r="W86" s="5"/>
      <c r="X86" s="5"/>
      <c r="Y86" s="5" t="s">
        <v>185</v>
      </c>
      <c r="Z86" s="10" t="s">
        <v>337</v>
      </c>
      <c r="AA86" s="5" t="s">
        <v>857</v>
      </c>
    </row>
    <row r="87" spans="1:28" x14ac:dyDescent="0.2">
      <c r="A87" s="13">
        <v>100003</v>
      </c>
      <c r="B87" s="13" t="s">
        <v>102</v>
      </c>
      <c r="C87" s="13">
        <v>182</v>
      </c>
      <c r="D87" s="13">
        <v>252</v>
      </c>
      <c r="E87" s="5">
        <v>74</v>
      </c>
      <c r="F87" s="5">
        <v>65</v>
      </c>
      <c r="G87" s="5">
        <v>78</v>
      </c>
      <c r="H87" s="5">
        <v>87</v>
      </c>
      <c r="I87" s="5">
        <v>93</v>
      </c>
      <c r="J87" s="5">
        <f>SUM(E87:I87)</f>
        <v>397</v>
      </c>
      <c r="K87" s="5">
        <v>350</v>
      </c>
      <c r="L87" s="5">
        <v>3</v>
      </c>
      <c r="M87" s="5" t="s">
        <v>745</v>
      </c>
      <c r="N87" s="5">
        <v>10</v>
      </c>
      <c r="O87" s="5">
        <v>17</v>
      </c>
      <c r="P87" s="5"/>
      <c r="Q87" s="5"/>
      <c r="R87" s="5">
        <v>0</v>
      </c>
      <c r="S87" s="5">
        <v>100</v>
      </c>
      <c r="T87" s="5">
        <v>1</v>
      </c>
      <c r="U87" s="5" t="s">
        <v>284</v>
      </c>
      <c r="V87" s="5"/>
      <c r="W87" s="5" t="s">
        <v>375</v>
      </c>
      <c r="X87" s="5"/>
      <c r="Y87" s="5" t="s">
        <v>184</v>
      </c>
      <c r="Z87" s="11" t="s">
        <v>71</v>
      </c>
      <c r="AA87" s="5" t="s">
        <v>405</v>
      </c>
    </row>
    <row r="88" spans="1:28" x14ac:dyDescent="0.2">
      <c r="A88" s="5">
        <v>103001</v>
      </c>
      <c r="B88" s="5" t="s">
        <v>228</v>
      </c>
      <c r="C88" s="5">
        <v>175</v>
      </c>
      <c r="D88" s="5">
        <v>215</v>
      </c>
      <c r="E88" s="5">
        <v>93</v>
      </c>
      <c r="F88" s="5">
        <v>94</v>
      </c>
      <c r="G88" s="5">
        <v>76</v>
      </c>
      <c r="H88" s="5">
        <v>70</v>
      </c>
      <c r="I88" s="5">
        <v>80</v>
      </c>
      <c r="J88" s="5">
        <f>SUM(E88:I88)</f>
        <v>413</v>
      </c>
      <c r="K88" s="5">
        <v>180</v>
      </c>
      <c r="L88" s="5">
        <v>3</v>
      </c>
      <c r="M88" s="5" t="s">
        <v>748</v>
      </c>
      <c r="N88" s="5">
        <v>10</v>
      </c>
      <c r="O88" s="5">
        <v>17</v>
      </c>
      <c r="P88" s="5">
        <v>22</v>
      </c>
      <c r="Q88" s="5">
        <v>1.5</v>
      </c>
      <c r="R88" s="5">
        <f>MAX(25, INT(POWER(2.2,J88/45)))</f>
        <v>1388</v>
      </c>
      <c r="S88" s="5">
        <v>0</v>
      </c>
      <c r="T88" s="5">
        <v>3</v>
      </c>
      <c r="U88" s="5" t="s">
        <v>294</v>
      </c>
      <c r="V88" s="5"/>
      <c r="W88" s="5" t="s">
        <v>268</v>
      </c>
      <c r="X88" s="5"/>
      <c r="Y88" s="5" t="s">
        <v>187</v>
      </c>
      <c r="Z88" s="10" t="s">
        <v>166</v>
      </c>
      <c r="AA88" s="5" t="s">
        <v>492</v>
      </c>
      <c r="AB88" t="e">
        <f>COUNTIF([1]Sheet1!#REF!, "*"&amp; A88&amp;"*")</f>
        <v>#REF!</v>
      </c>
    </row>
    <row r="89" spans="1:28" x14ac:dyDescent="0.2">
      <c r="A89" s="5">
        <v>103002</v>
      </c>
      <c r="B89" s="5" t="s">
        <v>103</v>
      </c>
      <c r="C89" s="5">
        <v>166</v>
      </c>
      <c r="D89" s="5">
        <v>206</v>
      </c>
      <c r="E89" s="5">
        <v>85</v>
      </c>
      <c r="F89" s="5">
        <v>93</v>
      </c>
      <c r="G89" s="5">
        <v>66</v>
      </c>
      <c r="H89" s="5">
        <v>58</v>
      </c>
      <c r="I89" s="5">
        <v>79</v>
      </c>
      <c r="J89" s="5">
        <f>SUM(E89:I89)</f>
        <v>381</v>
      </c>
      <c r="K89" s="5">
        <v>230</v>
      </c>
      <c r="L89" s="5">
        <v>3</v>
      </c>
      <c r="M89" s="5" t="s">
        <v>745</v>
      </c>
      <c r="N89" s="5">
        <v>10</v>
      </c>
      <c r="O89" s="5">
        <v>17</v>
      </c>
      <c r="P89" s="5">
        <v>22</v>
      </c>
      <c r="Q89" s="5">
        <v>1.5</v>
      </c>
      <c r="R89" s="5">
        <f>MAX(25, INT(POWER(2.2,J89/45)))</f>
        <v>792</v>
      </c>
      <c r="S89" s="5">
        <v>0</v>
      </c>
      <c r="T89" s="5">
        <v>3</v>
      </c>
      <c r="U89" s="5" t="s">
        <v>294</v>
      </c>
      <c r="V89" s="5"/>
      <c r="W89" s="5" t="s">
        <v>266</v>
      </c>
      <c r="X89" s="5"/>
      <c r="Y89" s="5" t="s">
        <v>187</v>
      </c>
      <c r="Z89" s="10" t="s">
        <v>166</v>
      </c>
      <c r="AA89" s="5" t="s">
        <v>493</v>
      </c>
      <c r="AB89" t="e">
        <f>COUNTIF([1]Sheet1!#REF!, "*"&amp; A89&amp;"*")</f>
        <v>#REF!</v>
      </c>
    </row>
    <row r="90" spans="1:28" x14ac:dyDescent="0.2">
      <c r="A90" s="5">
        <v>103003</v>
      </c>
      <c r="B90" s="5" t="s">
        <v>104</v>
      </c>
      <c r="C90" s="5">
        <v>155</v>
      </c>
      <c r="D90" s="5">
        <v>210</v>
      </c>
      <c r="E90" s="5">
        <v>79</v>
      </c>
      <c r="F90" s="5">
        <v>83</v>
      </c>
      <c r="G90" s="5">
        <v>65</v>
      </c>
      <c r="H90" s="5">
        <v>65</v>
      </c>
      <c r="I90" s="5">
        <v>80</v>
      </c>
      <c r="J90" s="5">
        <f>SUM(E90:I90)</f>
        <v>372</v>
      </c>
      <c r="K90" s="5">
        <v>320</v>
      </c>
      <c r="L90" s="5">
        <v>3</v>
      </c>
      <c r="M90" s="5" t="s">
        <v>749</v>
      </c>
      <c r="N90" s="5">
        <v>10</v>
      </c>
      <c r="O90" s="5">
        <v>17</v>
      </c>
      <c r="P90" s="5"/>
      <c r="Q90" s="5"/>
      <c r="R90" s="5">
        <f>MAX(25, INT(POWER(2.2,J90/45)))</f>
        <v>677</v>
      </c>
      <c r="S90" s="5">
        <v>0</v>
      </c>
      <c r="T90" s="5">
        <v>1</v>
      </c>
      <c r="U90" s="5" t="s">
        <v>285</v>
      </c>
      <c r="V90" s="5"/>
      <c r="W90" s="5" t="s">
        <v>329</v>
      </c>
      <c r="X90" s="5"/>
      <c r="Y90" s="5" t="s">
        <v>185</v>
      </c>
      <c r="Z90" s="10" t="s">
        <v>71</v>
      </c>
      <c r="AA90" s="5" t="s">
        <v>494</v>
      </c>
      <c r="AB90" t="e">
        <f>COUNTIF([1]Sheet1!#REF!, "*"&amp; A90&amp;"*")</f>
        <v>#REF!</v>
      </c>
    </row>
    <row r="91" spans="1:28" x14ac:dyDescent="0.2">
      <c r="A91" s="5">
        <v>103004</v>
      </c>
      <c r="B91" s="5" t="s">
        <v>105</v>
      </c>
      <c r="C91" s="5">
        <v>170</v>
      </c>
      <c r="D91" s="5">
        <v>225</v>
      </c>
      <c r="E91" s="5">
        <v>76</v>
      </c>
      <c r="F91" s="5">
        <v>91</v>
      </c>
      <c r="G91" s="5">
        <v>48</v>
      </c>
      <c r="H91" s="5">
        <v>38</v>
      </c>
      <c r="I91" s="5">
        <v>60</v>
      </c>
      <c r="J91" s="5">
        <f>SUM(E91:I91)</f>
        <v>313</v>
      </c>
      <c r="K91" s="5">
        <v>350</v>
      </c>
      <c r="L91" s="5">
        <v>3</v>
      </c>
      <c r="M91" s="5" t="s">
        <v>748</v>
      </c>
      <c r="N91" s="5">
        <v>10</v>
      </c>
      <c r="O91" s="5">
        <v>17</v>
      </c>
      <c r="P91" s="5"/>
      <c r="Q91" s="5"/>
      <c r="R91" s="5">
        <f>MAX(25, INT(POWER(2.2,J91/45)))</f>
        <v>240</v>
      </c>
      <c r="S91" s="5">
        <v>0</v>
      </c>
      <c r="T91" s="5">
        <v>1</v>
      </c>
      <c r="U91" s="5" t="s">
        <v>288</v>
      </c>
      <c r="V91" s="5"/>
      <c r="W91" s="5" t="s">
        <v>354</v>
      </c>
      <c r="X91" s="5"/>
      <c r="Y91" s="5" t="s">
        <v>189</v>
      </c>
      <c r="Z91" s="10" t="s">
        <v>71</v>
      </c>
      <c r="AA91" s="5" t="s">
        <v>495</v>
      </c>
      <c r="AB91" t="e">
        <f>COUNTIF([1]Sheet1!#REF!, "*"&amp; A91&amp;"*")</f>
        <v>#REF!</v>
      </c>
    </row>
    <row r="92" spans="1:28" x14ac:dyDescent="0.2">
      <c r="A92" s="5">
        <v>103005</v>
      </c>
      <c r="B92" s="5" t="s">
        <v>106</v>
      </c>
      <c r="C92" s="5">
        <v>172</v>
      </c>
      <c r="D92" s="5">
        <v>217</v>
      </c>
      <c r="E92" s="5">
        <v>80</v>
      </c>
      <c r="F92" s="5">
        <v>56</v>
      </c>
      <c r="G92" s="5">
        <v>92</v>
      </c>
      <c r="H92" s="5">
        <v>92</v>
      </c>
      <c r="I92" s="5">
        <v>89</v>
      </c>
      <c r="J92" s="5">
        <f>SUM(E92:I92)</f>
        <v>409</v>
      </c>
      <c r="K92" s="5">
        <v>250</v>
      </c>
      <c r="L92" s="5">
        <v>3</v>
      </c>
      <c r="M92" s="5" t="s">
        <v>744</v>
      </c>
      <c r="N92" s="5">
        <v>10</v>
      </c>
      <c r="O92" s="5">
        <v>17</v>
      </c>
      <c r="P92" s="5">
        <v>18</v>
      </c>
      <c r="Q92" s="5"/>
      <c r="R92" s="5">
        <f>MAX(25, INT(POWER(2.2,J92/45)))</f>
        <v>1294</v>
      </c>
      <c r="S92" s="5">
        <v>0</v>
      </c>
      <c r="T92" s="5">
        <v>3</v>
      </c>
      <c r="U92" s="5" t="s">
        <v>292</v>
      </c>
      <c r="V92" s="5"/>
      <c r="W92" s="5" t="s">
        <v>269</v>
      </c>
      <c r="X92" s="5" t="s">
        <v>373</v>
      </c>
      <c r="Y92" s="5" t="s">
        <v>194</v>
      </c>
      <c r="Z92" s="10" t="s">
        <v>334</v>
      </c>
      <c r="AA92" s="5" t="s">
        <v>496</v>
      </c>
      <c r="AB92" t="e">
        <f>COUNTIF([1]Sheet1!#REF!, "*"&amp; A92&amp;"*")</f>
        <v>#REF!</v>
      </c>
    </row>
    <row r="93" spans="1:28" x14ac:dyDescent="0.2">
      <c r="A93" s="5">
        <v>103006</v>
      </c>
      <c r="B93" s="5" t="s">
        <v>107</v>
      </c>
      <c r="C93" s="5">
        <v>175</v>
      </c>
      <c r="D93" s="5">
        <v>210</v>
      </c>
      <c r="E93" s="5">
        <v>96</v>
      </c>
      <c r="F93" s="5">
        <v>71</v>
      </c>
      <c r="G93" s="5">
        <v>96</v>
      </c>
      <c r="H93" s="5">
        <v>86</v>
      </c>
      <c r="I93" s="5">
        <v>93</v>
      </c>
      <c r="J93" s="5">
        <f>SUM(E93:I93)</f>
        <v>442</v>
      </c>
      <c r="K93" s="5">
        <v>210</v>
      </c>
      <c r="L93" s="5">
        <v>3</v>
      </c>
      <c r="M93" s="5" t="s">
        <v>744</v>
      </c>
      <c r="N93" s="5">
        <v>10</v>
      </c>
      <c r="O93" s="5">
        <v>17</v>
      </c>
      <c r="P93" s="5">
        <v>15</v>
      </c>
      <c r="Q93" s="5"/>
      <c r="R93" s="5">
        <f>MAX(25, INT(POWER(2.2,J93/45)))</f>
        <v>2308</v>
      </c>
      <c r="S93" s="5">
        <v>0</v>
      </c>
      <c r="T93" s="5">
        <v>3</v>
      </c>
      <c r="U93" s="5" t="s">
        <v>291</v>
      </c>
      <c r="V93" s="5"/>
      <c r="W93" s="5" t="s">
        <v>276</v>
      </c>
      <c r="X93" s="5" t="s">
        <v>388</v>
      </c>
      <c r="Y93" s="5" t="s">
        <v>188</v>
      </c>
      <c r="Z93" s="10" t="s">
        <v>162</v>
      </c>
      <c r="AA93" s="5" t="s">
        <v>497</v>
      </c>
      <c r="AB93" t="e">
        <f>COUNTIF([1]Sheet1!#REF!, "*"&amp; A93&amp;"*")</f>
        <v>#REF!</v>
      </c>
    </row>
    <row r="94" spans="1:28" x14ac:dyDescent="0.2">
      <c r="A94" s="5">
        <v>103007</v>
      </c>
      <c r="B94" s="5" t="s">
        <v>109</v>
      </c>
      <c r="C94" s="5">
        <v>172</v>
      </c>
      <c r="D94" s="5">
        <v>220</v>
      </c>
      <c r="E94" s="5">
        <v>78</v>
      </c>
      <c r="F94" s="5">
        <v>84</v>
      </c>
      <c r="G94" s="5">
        <v>51</v>
      </c>
      <c r="H94" s="5">
        <v>42</v>
      </c>
      <c r="I94" s="5">
        <v>74</v>
      </c>
      <c r="J94" s="5">
        <f>SUM(E94:I94)</f>
        <v>329</v>
      </c>
      <c r="K94" s="5">
        <v>310</v>
      </c>
      <c r="L94" s="5">
        <v>3</v>
      </c>
      <c r="M94" s="5" t="s">
        <v>749</v>
      </c>
      <c r="N94" s="5">
        <v>10</v>
      </c>
      <c r="O94" s="5">
        <v>17</v>
      </c>
      <c r="P94" s="5"/>
      <c r="Q94" s="5"/>
      <c r="R94" s="5">
        <f>MAX(25, INT(POWER(2.2,J94/45)))</f>
        <v>318</v>
      </c>
      <c r="S94" s="5">
        <v>0</v>
      </c>
      <c r="T94" s="5">
        <v>1</v>
      </c>
      <c r="U94" s="5" t="s">
        <v>287</v>
      </c>
      <c r="V94" s="5"/>
      <c r="W94" s="5"/>
      <c r="X94" s="5"/>
      <c r="Y94" s="5" t="s">
        <v>186</v>
      </c>
      <c r="Z94" s="10" t="s">
        <v>71</v>
      </c>
      <c r="AA94" s="5" t="s">
        <v>498</v>
      </c>
      <c r="AB94" t="e">
        <f>COUNTIF([1]Sheet1!#REF!, "*"&amp; A94&amp;"*")</f>
        <v>#REF!</v>
      </c>
    </row>
    <row r="95" spans="1:28" x14ac:dyDescent="0.2">
      <c r="A95" s="5">
        <v>103008</v>
      </c>
      <c r="B95" s="5" t="s">
        <v>238</v>
      </c>
      <c r="C95" s="5">
        <v>178</v>
      </c>
      <c r="D95" s="5">
        <v>219</v>
      </c>
      <c r="E95" s="5">
        <v>91</v>
      </c>
      <c r="F95" s="5">
        <v>81</v>
      </c>
      <c r="G95" s="5">
        <v>84</v>
      </c>
      <c r="H95" s="5">
        <v>74</v>
      </c>
      <c r="I95" s="5">
        <v>82</v>
      </c>
      <c r="J95" s="5">
        <f>SUM(E95:I95)</f>
        <v>412</v>
      </c>
      <c r="K95" s="5">
        <v>250</v>
      </c>
      <c r="L95" s="5">
        <v>3</v>
      </c>
      <c r="M95" s="5" t="s">
        <v>744</v>
      </c>
      <c r="N95" s="5">
        <v>10</v>
      </c>
      <c r="O95" s="5">
        <v>17</v>
      </c>
      <c r="P95" s="5"/>
      <c r="Q95" s="5"/>
      <c r="R95" s="5">
        <f>MAX(25, INT(POWER(2.2,J95/45)))</f>
        <v>1364</v>
      </c>
      <c r="S95" s="5">
        <v>0</v>
      </c>
      <c r="T95" s="5">
        <v>1</v>
      </c>
      <c r="U95" s="5" t="s">
        <v>298</v>
      </c>
      <c r="V95" s="5"/>
      <c r="W95" s="5" t="s">
        <v>277</v>
      </c>
      <c r="X95" s="5" t="s">
        <v>384</v>
      </c>
      <c r="Y95" s="5" t="s">
        <v>192</v>
      </c>
      <c r="Z95" s="10" t="s">
        <v>71</v>
      </c>
      <c r="AA95" s="5" t="s">
        <v>499</v>
      </c>
      <c r="AB95" t="e">
        <f>COUNTIF([1]Sheet1!#REF!, "*"&amp; A95&amp;"*")</f>
        <v>#REF!</v>
      </c>
    </row>
    <row r="96" spans="1:28" x14ac:dyDescent="0.2">
      <c r="A96" s="5">
        <v>103009</v>
      </c>
      <c r="B96" s="5" t="s">
        <v>111</v>
      </c>
      <c r="C96" s="5">
        <v>183</v>
      </c>
      <c r="D96" s="5">
        <v>245</v>
      </c>
      <c r="E96" s="5">
        <v>96</v>
      </c>
      <c r="F96" s="5">
        <v>69</v>
      </c>
      <c r="G96" s="5">
        <v>92</v>
      </c>
      <c r="H96" s="5">
        <v>87</v>
      </c>
      <c r="I96" s="5">
        <v>90</v>
      </c>
      <c r="J96" s="5">
        <f>SUM(E96:I96)</f>
        <v>434</v>
      </c>
      <c r="K96" s="5">
        <v>220</v>
      </c>
      <c r="L96" s="5">
        <v>3</v>
      </c>
      <c r="M96" s="5" t="s">
        <v>745</v>
      </c>
      <c r="N96" s="5">
        <v>10</v>
      </c>
      <c r="O96" s="5">
        <v>17</v>
      </c>
      <c r="P96" s="5">
        <v>15</v>
      </c>
      <c r="Q96" s="5"/>
      <c r="R96" s="5">
        <f>MAX(25, INT(POWER(2.2,J96/45)))</f>
        <v>2006</v>
      </c>
      <c r="S96" s="5">
        <v>0</v>
      </c>
      <c r="T96" s="5">
        <v>3</v>
      </c>
      <c r="U96" s="5" t="s">
        <v>291</v>
      </c>
      <c r="V96" s="5"/>
      <c r="W96" s="5" t="s">
        <v>276</v>
      </c>
      <c r="X96" s="5"/>
      <c r="Y96" s="5" t="s">
        <v>188</v>
      </c>
      <c r="Z96" s="10" t="s">
        <v>170</v>
      </c>
      <c r="AA96" s="5" t="s">
        <v>500</v>
      </c>
      <c r="AB96" t="e">
        <f>COUNTIF([1]Sheet1!#REF!, "*"&amp; A96&amp;"*")</f>
        <v>#REF!</v>
      </c>
    </row>
    <row r="97" spans="1:28" x14ac:dyDescent="0.2">
      <c r="A97" s="5">
        <v>103010</v>
      </c>
      <c r="B97" s="5" t="s">
        <v>224</v>
      </c>
      <c r="C97" s="5">
        <v>156</v>
      </c>
      <c r="D97" s="5">
        <v>236</v>
      </c>
      <c r="E97" s="5">
        <v>32</v>
      </c>
      <c r="F97" s="5">
        <v>2</v>
      </c>
      <c r="G97" s="5">
        <v>83</v>
      </c>
      <c r="H97" s="5">
        <v>98</v>
      </c>
      <c r="I97" s="5">
        <v>79</v>
      </c>
      <c r="J97" s="5">
        <f>SUM(E97:I97)</f>
        <v>294</v>
      </c>
      <c r="K97" s="5">
        <v>275</v>
      </c>
      <c r="L97" s="5">
        <v>3</v>
      </c>
      <c r="M97" s="5" t="s">
        <v>749</v>
      </c>
      <c r="N97" s="5">
        <v>10</v>
      </c>
      <c r="O97" s="5">
        <v>17</v>
      </c>
      <c r="P97" s="5">
        <v>18</v>
      </c>
      <c r="Q97" s="5"/>
      <c r="R97" s="5">
        <f>MAX(25, INT(POWER(2.2,J97/45)))</f>
        <v>172</v>
      </c>
      <c r="S97" s="5">
        <v>0</v>
      </c>
      <c r="T97" s="5">
        <v>3</v>
      </c>
      <c r="U97" s="5" t="s">
        <v>292</v>
      </c>
      <c r="V97" s="5"/>
      <c r="W97" s="5"/>
      <c r="X97" s="5"/>
      <c r="Y97" s="5" t="s">
        <v>194</v>
      </c>
      <c r="Z97" s="10" t="s">
        <v>334</v>
      </c>
      <c r="AA97" s="5" t="s">
        <v>501</v>
      </c>
      <c r="AB97" t="e">
        <f>COUNTIF([1]Sheet1!#REF!, "*"&amp; A97&amp;"*")</f>
        <v>#REF!</v>
      </c>
    </row>
    <row r="98" spans="1:28" x14ac:dyDescent="0.2">
      <c r="A98" s="5">
        <v>103011</v>
      </c>
      <c r="B98" s="5" t="s">
        <v>126</v>
      </c>
      <c r="C98" s="5">
        <v>174</v>
      </c>
      <c r="D98" s="5">
        <v>241</v>
      </c>
      <c r="E98" s="5">
        <v>72</v>
      </c>
      <c r="F98" s="5">
        <v>34</v>
      </c>
      <c r="G98" s="5">
        <v>81</v>
      </c>
      <c r="H98" s="5">
        <v>90</v>
      </c>
      <c r="I98" s="5">
        <v>90</v>
      </c>
      <c r="J98" s="5">
        <f>SUM(E98:I98)</f>
        <v>367</v>
      </c>
      <c r="K98" s="5">
        <v>290</v>
      </c>
      <c r="L98" s="5">
        <v>3</v>
      </c>
      <c r="M98" s="5" t="s">
        <v>745</v>
      </c>
      <c r="N98" s="5">
        <v>10</v>
      </c>
      <c r="O98" s="5">
        <v>17</v>
      </c>
      <c r="P98" s="5">
        <v>15</v>
      </c>
      <c r="Q98" s="5"/>
      <c r="R98" s="5">
        <f>MAX(25, INT(POWER(2.2,J98/45)))</f>
        <v>620</v>
      </c>
      <c r="S98" s="5">
        <v>0</v>
      </c>
      <c r="T98" s="5">
        <v>3</v>
      </c>
      <c r="U98" s="5" t="s">
        <v>293</v>
      </c>
      <c r="V98" s="5"/>
      <c r="W98" s="5" t="s">
        <v>326</v>
      </c>
      <c r="X98" s="5"/>
      <c r="Y98" s="5" t="s">
        <v>194</v>
      </c>
      <c r="Z98" s="10" t="s">
        <v>332</v>
      </c>
      <c r="AA98" s="5" t="s">
        <v>502</v>
      </c>
      <c r="AB98" t="e">
        <f>COUNTIF([1]Sheet1!#REF!, "*"&amp; A98&amp;"*")</f>
        <v>#REF!</v>
      </c>
    </row>
    <row r="99" spans="1:28" x14ac:dyDescent="0.2">
      <c r="A99" s="5">
        <v>103012</v>
      </c>
      <c r="B99" s="5" t="s">
        <v>98</v>
      </c>
      <c r="C99" s="5">
        <v>191</v>
      </c>
      <c r="D99" s="5">
        <v>222</v>
      </c>
      <c r="E99" s="5">
        <v>69</v>
      </c>
      <c r="F99" s="5">
        <v>83</v>
      </c>
      <c r="G99" s="5">
        <v>64</v>
      </c>
      <c r="H99" s="5">
        <v>61</v>
      </c>
      <c r="I99" s="5">
        <v>70</v>
      </c>
      <c r="J99" s="5">
        <f>SUM(E99:I99)</f>
        <v>347</v>
      </c>
      <c r="K99" s="5">
        <v>240</v>
      </c>
      <c r="L99" s="5">
        <v>3</v>
      </c>
      <c r="M99" s="5" t="s">
        <v>745</v>
      </c>
      <c r="N99" s="5">
        <v>10</v>
      </c>
      <c r="O99" s="5">
        <v>17</v>
      </c>
      <c r="P99" s="5">
        <v>22</v>
      </c>
      <c r="Q99" s="5">
        <v>1.5</v>
      </c>
      <c r="R99" s="5">
        <f>MAX(25, INT(POWER(2.2,J99/45)))</f>
        <v>436</v>
      </c>
      <c r="S99" s="5">
        <v>0</v>
      </c>
      <c r="T99" s="5">
        <v>3</v>
      </c>
      <c r="U99" s="5" t="s">
        <v>294</v>
      </c>
      <c r="V99" s="5"/>
      <c r="W99" s="5"/>
      <c r="X99" s="5"/>
      <c r="Y99" s="5" t="s">
        <v>187</v>
      </c>
      <c r="Z99" s="10" t="s">
        <v>166</v>
      </c>
      <c r="AA99" s="5" t="s">
        <v>503</v>
      </c>
      <c r="AB99" t="e">
        <f>COUNTIF([1]Sheet1!#REF!, "*"&amp; A99&amp;"*")</f>
        <v>#REF!</v>
      </c>
    </row>
    <row r="100" spans="1:28" x14ac:dyDescent="0.2">
      <c r="A100" s="5">
        <v>103013</v>
      </c>
      <c r="B100" s="5" t="s">
        <v>240</v>
      </c>
      <c r="C100" s="5">
        <v>177</v>
      </c>
      <c r="D100" s="5">
        <v>238</v>
      </c>
      <c r="E100" s="5">
        <v>84</v>
      </c>
      <c r="F100" s="5">
        <v>82</v>
      </c>
      <c r="G100" s="5">
        <v>75</v>
      </c>
      <c r="H100" s="5">
        <v>56</v>
      </c>
      <c r="I100" s="5">
        <v>59</v>
      </c>
      <c r="J100" s="5">
        <f>SUM(E100:I100)</f>
        <v>356</v>
      </c>
      <c r="K100" s="5">
        <v>320</v>
      </c>
      <c r="L100" s="5">
        <v>3</v>
      </c>
      <c r="M100" s="5" t="s">
        <v>749</v>
      </c>
      <c r="N100" s="5">
        <v>10</v>
      </c>
      <c r="O100" s="5">
        <v>17</v>
      </c>
      <c r="P100" s="5"/>
      <c r="Q100" s="5"/>
      <c r="R100" s="5">
        <f>MAX(25, INT(POWER(2.2,J100/45)))</f>
        <v>511</v>
      </c>
      <c r="S100" s="5">
        <v>0</v>
      </c>
      <c r="T100" s="5">
        <v>1</v>
      </c>
      <c r="U100" s="5" t="s">
        <v>288</v>
      </c>
      <c r="V100" s="5"/>
      <c r="W100" s="5" t="s">
        <v>263</v>
      </c>
      <c r="X100" s="5" t="s">
        <v>382</v>
      </c>
      <c r="Y100" s="5" t="s">
        <v>185</v>
      </c>
      <c r="Z100" s="10" t="s">
        <v>71</v>
      </c>
      <c r="AA100" s="5" t="s">
        <v>504</v>
      </c>
      <c r="AB100" t="e">
        <f>COUNTIF([1]Sheet1!#REF!, "*"&amp; A100&amp;"*")</f>
        <v>#REF!</v>
      </c>
    </row>
    <row r="101" spans="1:28" x14ac:dyDescent="0.2">
      <c r="A101" s="5">
        <v>103014</v>
      </c>
      <c r="B101" s="5" t="s">
        <v>113</v>
      </c>
      <c r="C101" s="5">
        <v>175</v>
      </c>
      <c r="D101" s="5">
        <v>221</v>
      </c>
      <c r="E101" s="5">
        <v>17</v>
      </c>
      <c r="F101" s="5">
        <v>11</v>
      </c>
      <c r="G101" s="5">
        <v>72</v>
      </c>
      <c r="H101" s="5">
        <v>78</v>
      </c>
      <c r="I101" s="5">
        <v>92</v>
      </c>
      <c r="J101" s="5">
        <f>SUM(E101:I101)</f>
        <v>270</v>
      </c>
      <c r="K101" s="5">
        <v>280</v>
      </c>
      <c r="L101" s="5">
        <v>3</v>
      </c>
      <c r="M101" s="5" t="s">
        <v>745</v>
      </c>
      <c r="N101" s="5">
        <v>10</v>
      </c>
      <c r="O101" s="5">
        <v>17</v>
      </c>
      <c r="P101" s="5">
        <v>15</v>
      </c>
      <c r="Q101" s="5"/>
      <c r="R101" s="5">
        <f>MAX(25, INT(POWER(2.2,J101/45)))</f>
        <v>113</v>
      </c>
      <c r="S101" s="5">
        <v>0</v>
      </c>
      <c r="T101" s="5">
        <v>3</v>
      </c>
      <c r="U101" s="5" t="s">
        <v>295</v>
      </c>
      <c r="V101" s="5"/>
      <c r="W101" s="5" t="s">
        <v>361</v>
      </c>
      <c r="X101" t="s">
        <v>397</v>
      </c>
      <c r="Y101" s="5" t="s">
        <v>194</v>
      </c>
      <c r="Z101" s="10" t="s">
        <v>70</v>
      </c>
      <c r="AA101" s="5" t="s">
        <v>505</v>
      </c>
      <c r="AB101" t="e">
        <f>COUNTIF([1]Sheet1!#REF!, "*"&amp; A101&amp;"*")</f>
        <v>#REF!</v>
      </c>
    </row>
    <row r="102" spans="1:28" x14ac:dyDescent="0.2">
      <c r="A102" s="5">
        <v>103015</v>
      </c>
      <c r="B102" s="5" t="s">
        <v>114</v>
      </c>
      <c r="C102" s="5">
        <v>176</v>
      </c>
      <c r="D102" s="5">
        <v>223</v>
      </c>
      <c r="E102" s="5">
        <v>16</v>
      </c>
      <c r="F102" s="5">
        <v>12</v>
      </c>
      <c r="G102" s="5">
        <v>73</v>
      </c>
      <c r="H102" s="5">
        <v>77</v>
      </c>
      <c r="I102" s="5">
        <v>92</v>
      </c>
      <c r="J102" s="5">
        <f>SUM(E102:I102)</f>
        <v>270</v>
      </c>
      <c r="K102" s="5">
        <v>270</v>
      </c>
      <c r="L102" s="5">
        <v>3</v>
      </c>
      <c r="M102" s="5" t="s">
        <v>744</v>
      </c>
      <c r="N102" s="5">
        <v>10</v>
      </c>
      <c r="O102" s="5">
        <v>17</v>
      </c>
      <c r="P102" s="5">
        <v>15</v>
      </c>
      <c r="Q102" s="5"/>
      <c r="R102" s="5">
        <f>MAX(25, INT(POWER(2.2,J102/45)))</f>
        <v>113</v>
      </c>
      <c r="S102" s="5">
        <v>0</v>
      </c>
      <c r="T102" s="5">
        <v>3</v>
      </c>
      <c r="U102" s="5" t="s">
        <v>295</v>
      </c>
      <c r="V102" s="5"/>
      <c r="W102" s="5" t="s">
        <v>363</v>
      </c>
      <c r="X102" t="s">
        <v>397</v>
      </c>
      <c r="Y102" s="5" t="s">
        <v>194</v>
      </c>
      <c r="Z102" s="10" t="s">
        <v>70</v>
      </c>
      <c r="AA102" s="5" t="s">
        <v>506</v>
      </c>
      <c r="AB102" t="e">
        <f>COUNTIF([1]Sheet1!#REF!, "*"&amp; A102&amp;"*")</f>
        <v>#REF!</v>
      </c>
    </row>
    <row r="103" spans="1:28" x14ac:dyDescent="0.2">
      <c r="A103" s="5">
        <v>103016</v>
      </c>
      <c r="B103" s="5" t="s">
        <v>229</v>
      </c>
      <c r="C103" s="5">
        <v>186</v>
      </c>
      <c r="D103" s="5">
        <v>271</v>
      </c>
      <c r="E103" s="5">
        <v>76</v>
      </c>
      <c r="F103" s="5">
        <v>95</v>
      </c>
      <c r="G103" s="5">
        <v>66</v>
      </c>
      <c r="H103" s="5">
        <v>51</v>
      </c>
      <c r="I103" s="5">
        <v>52</v>
      </c>
      <c r="J103" s="5">
        <f>SUM(E103:I103)</f>
        <v>340</v>
      </c>
      <c r="K103" s="5">
        <v>205</v>
      </c>
      <c r="L103" s="5">
        <v>3</v>
      </c>
      <c r="M103" s="5" t="s">
        <v>748</v>
      </c>
      <c r="N103" s="5">
        <v>10</v>
      </c>
      <c r="O103" s="5">
        <v>17</v>
      </c>
      <c r="P103" s="5">
        <v>13</v>
      </c>
      <c r="Q103" s="5">
        <v>2.5</v>
      </c>
      <c r="R103" s="5">
        <f>MAX(25, INT(POWER(2.2,J103/45)))</f>
        <v>386</v>
      </c>
      <c r="S103" s="5">
        <v>0</v>
      </c>
      <c r="T103" s="5">
        <v>3</v>
      </c>
      <c r="U103" s="5" t="s">
        <v>289</v>
      </c>
      <c r="V103" s="5"/>
      <c r="W103" s="5"/>
      <c r="X103" s="5"/>
      <c r="Y103" s="5" t="s">
        <v>187</v>
      </c>
      <c r="Z103" s="10" t="s">
        <v>370</v>
      </c>
      <c r="AA103" s="5" t="s">
        <v>507</v>
      </c>
      <c r="AB103" t="e">
        <f>COUNTIF([1]Sheet1!#REF!, "*"&amp; A103&amp;"*")</f>
        <v>#REF!</v>
      </c>
    </row>
    <row r="104" spans="1:28" x14ac:dyDescent="0.2">
      <c r="A104" s="5">
        <v>103017</v>
      </c>
      <c r="B104" s="5" t="s">
        <v>117</v>
      </c>
      <c r="C104" s="5">
        <v>170</v>
      </c>
      <c r="D104" s="5">
        <v>213</v>
      </c>
      <c r="E104" s="5">
        <v>72</v>
      </c>
      <c r="F104" s="5">
        <v>85</v>
      </c>
      <c r="G104" s="5">
        <v>50</v>
      </c>
      <c r="H104" s="5">
        <v>48</v>
      </c>
      <c r="I104" s="5">
        <v>60</v>
      </c>
      <c r="J104" s="5">
        <f>SUM(E104:I104)</f>
        <v>315</v>
      </c>
      <c r="K104" s="5">
        <v>325</v>
      </c>
      <c r="L104" s="5">
        <v>3</v>
      </c>
      <c r="M104" s="5" t="s">
        <v>748</v>
      </c>
      <c r="N104" s="5">
        <v>10</v>
      </c>
      <c r="O104" s="5">
        <v>17</v>
      </c>
      <c r="P104" s="5"/>
      <c r="Q104" s="5"/>
      <c r="R104" s="5">
        <f>MAX(25, INT(POWER(2.2,J104/45)))</f>
        <v>249</v>
      </c>
      <c r="S104" s="5">
        <v>0</v>
      </c>
      <c r="T104" s="5">
        <v>1</v>
      </c>
      <c r="U104" s="5" t="s">
        <v>297</v>
      </c>
      <c r="V104" s="5"/>
      <c r="W104" s="5" t="s">
        <v>325</v>
      </c>
      <c r="Y104" s="5" t="s">
        <v>307</v>
      </c>
      <c r="Z104" s="10" t="s">
        <v>71</v>
      </c>
      <c r="AA104" s="5" t="s">
        <v>508</v>
      </c>
      <c r="AB104" t="e">
        <f>COUNTIF([1]Sheet1!#REF!, "*"&amp; A104&amp;"*")</f>
        <v>#REF!</v>
      </c>
    </row>
    <row r="105" spans="1:28" x14ac:dyDescent="0.2">
      <c r="A105" s="5">
        <v>103018</v>
      </c>
      <c r="B105" s="5" t="s">
        <v>234</v>
      </c>
      <c r="C105" s="5">
        <v>189</v>
      </c>
      <c r="D105" s="5">
        <v>237</v>
      </c>
      <c r="E105" s="5">
        <v>72</v>
      </c>
      <c r="F105" s="5">
        <v>83</v>
      </c>
      <c r="G105" s="5">
        <v>54</v>
      </c>
      <c r="H105" s="5">
        <v>37</v>
      </c>
      <c r="I105" s="5">
        <v>66</v>
      </c>
      <c r="J105" s="5">
        <f>SUM(E105:I105)</f>
        <v>312</v>
      </c>
      <c r="K105" s="5">
        <v>205</v>
      </c>
      <c r="L105" s="5">
        <v>3</v>
      </c>
      <c r="M105" s="5" t="s">
        <v>747</v>
      </c>
      <c r="N105" s="5">
        <v>10</v>
      </c>
      <c r="O105" s="5">
        <v>17</v>
      </c>
      <c r="P105" s="5">
        <v>30</v>
      </c>
      <c r="Q105" s="5">
        <v>1.5</v>
      </c>
      <c r="R105" s="5">
        <f>MAX(25, INT(POWER(2.2,J105/45)))</f>
        <v>236</v>
      </c>
      <c r="S105" s="5">
        <v>0</v>
      </c>
      <c r="T105" s="5">
        <v>3</v>
      </c>
      <c r="U105" s="5" t="s">
        <v>290</v>
      </c>
      <c r="V105" s="5"/>
      <c r="W105" s="5" t="s">
        <v>376</v>
      </c>
      <c r="Y105" s="5" t="s">
        <v>187</v>
      </c>
      <c r="Z105" s="10" t="s">
        <v>166</v>
      </c>
      <c r="AA105" s="5" t="s">
        <v>509</v>
      </c>
      <c r="AB105" t="e">
        <f>COUNTIF([1]Sheet1!#REF!, "*"&amp; A105&amp;"*")</f>
        <v>#REF!</v>
      </c>
    </row>
    <row r="106" spans="1:28" x14ac:dyDescent="0.2">
      <c r="A106" s="5">
        <v>103019</v>
      </c>
      <c r="B106" s="5" t="s">
        <v>122</v>
      </c>
      <c r="C106" s="5">
        <v>176</v>
      </c>
      <c r="D106" s="5">
        <v>234</v>
      </c>
      <c r="E106" s="5">
        <v>76</v>
      </c>
      <c r="F106" s="5">
        <v>80</v>
      </c>
      <c r="G106" s="5">
        <v>70</v>
      </c>
      <c r="H106" s="5">
        <v>28</v>
      </c>
      <c r="I106" s="5">
        <v>12</v>
      </c>
      <c r="J106" s="5">
        <f>SUM(E106:I106)</f>
        <v>266</v>
      </c>
      <c r="K106" s="5">
        <v>295</v>
      </c>
      <c r="L106" s="5">
        <v>3</v>
      </c>
      <c r="M106" s="5" t="s">
        <v>746</v>
      </c>
      <c r="N106" s="5">
        <v>10</v>
      </c>
      <c r="O106" s="5">
        <v>17</v>
      </c>
      <c r="P106" s="5"/>
      <c r="Q106" s="5"/>
      <c r="R106" s="5">
        <f>MAX(25, INT(POWER(2.2,J106/45)))</f>
        <v>105</v>
      </c>
      <c r="S106" s="5">
        <v>0</v>
      </c>
      <c r="T106" s="5">
        <v>1</v>
      </c>
      <c r="U106" s="5" t="s">
        <v>287</v>
      </c>
      <c r="V106" s="5"/>
      <c r="W106" s="5" t="s">
        <v>264</v>
      </c>
      <c r="X106" s="5" t="s">
        <v>376</v>
      </c>
      <c r="Y106" s="5" t="s">
        <v>193</v>
      </c>
      <c r="Z106" s="10" t="s">
        <v>71</v>
      </c>
      <c r="AA106" s="5" t="s">
        <v>510</v>
      </c>
      <c r="AB106" t="e">
        <f>COUNTIF([1]Sheet1!#REF!, "*"&amp; A106&amp;"*")</f>
        <v>#REF!</v>
      </c>
    </row>
    <row r="107" spans="1:28" x14ac:dyDescent="0.2">
      <c r="A107" s="5">
        <v>103020</v>
      </c>
      <c r="B107" s="5" t="s">
        <v>972</v>
      </c>
      <c r="C107" s="5">
        <v>156</v>
      </c>
      <c r="D107" s="5">
        <v>224</v>
      </c>
      <c r="E107" s="5">
        <v>66</v>
      </c>
      <c r="F107" s="5">
        <v>78</v>
      </c>
      <c r="G107" s="5">
        <v>42</v>
      </c>
      <c r="H107" s="5">
        <v>39</v>
      </c>
      <c r="I107" s="5">
        <v>64</v>
      </c>
      <c r="J107" s="5">
        <f>SUM(E107:I107)</f>
        <v>289</v>
      </c>
      <c r="K107" s="5">
        <v>235</v>
      </c>
      <c r="L107" s="5">
        <v>3</v>
      </c>
      <c r="M107" s="5" t="s">
        <v>744</v>
      </c>
      <c r="N107" s="5">
        <v>10</v>
      </c>
      <c r="O107" s="5">
        <v>17</v>
      </c>
      <c r="P107" s="5">
        <v>22</v>
      </c>
      <c r="Q107" s="5">
        <v>1.5</v>
      </c>
      <c r="R107" s="5">
        <f>MAX(25, INT(POWER(2.2,J107/45)))</f>
        <v>158</v>
      </c>
      <c r="S107" s="5">
        <v>0</v>
      </c>
      <c r="T107" s="5">
        <v>3</v>
      </c>
      <c r="U107" s="5" t="s">
        <v>294</v>
      </c>
      <c r="V107" s="5"/>
      <c r="W107" s="5" t="s">
        <v>396</v>
      </c>
      <c r="X107" s="5"/>
      <c r="Y107" s="5" t="s">
        <v>187</v>
      </c>
      <c r="Z107" s="10" t="s">
        <v>166</v>
      </c>
      <c r="AA107" s="5" t="s">
        <v>511</v>
      </c>
      <c r="AB107" t="e">
        <f>COUNTIF([1]Sheet1!#REF!, "*"&amp; A107&amp;"*")</f>
        <v>#REF!</v>
      </c>
    </row>
    <row r="108" spans="1:28" x14ac:dyDescent="0.2">
      <c r="A108" s="5">
        <v>103021</v>
      </c>
      <c r="B108" s="5" t="s">
        <v>119</v>
      </c>
      <c r="C108" s="5">
        <v>177</v>
      </c>
      <c r="D108" s="5">
        <v>228</v>
      </c>
      <c r="E108" s="5">
        <v>87</v>
      </c>
      <c r="F108" s="5">
        <v>81</v>
      </c>
      <c r="G108" s="5">
        <v>78</v>
      </c>
      <c r="H108" s="5">
        <v>65</v>
      </c>
      <c r="I108" s="5">
        <v>73</v>
      </c>
      <c r="J108" s="5">
        <f>SUM(E108:I108)</f>
        <v>384</v>
      </c>
      <c r="K108" s="5">
        <v>290</v>
      </c>
      <c r="L108" s="5">
        <v>3</v>
      </c>
      <c r="M108" s="5" t="s">
        <v>746</v>
      </c>
      <c r="N108" s="5">
        <v>10</v>
      </c>
      <c r="O108" s="5">
        <v>17</v>
      </c>
      <c r="P108" s="5"/>
      <c r="Q108" s="5"/>
      <c r="R108" s="5">
        <f>MAX(25, INT(POWER(2.2,J108/45)))</f>
        <v>835</v>
      </c>
      <c r="S108" s="5">
        <v>0</v>
      </c>
      <c r="T108" s="5">
        <v>1</v>
      </c>
      <c r="U108" s="5" t="s">
        <v>285</v>
      </c>
      <c r="V108" s="5"/>
      <c r="W108" s="5" t="s">
        <v>386</v>
      </c>
      <c r="X108" s="5"/>
      <c r="Y108" s="5" t="s">
        <v>185</v>
      </c>
      <c r="Z108" s="10" t="s">
        <v>71</v>
      </c>
      <c r="AA108" s="5" t="s">
        <v>512</v>
      </c>
      <c r="AB108" t="e">
        <f>COUNTIF([1]Sheet1!#REF!, "*"&amp; A108&amp;"*")</f>
        <v>#REF!</v>
      </c>
    </row>
    <row r="109" spans="1:28" x14ac:dyDescent="0.2">
      <c r="A109" s="5">
        <v>103022</v>
      </c>
      <c r="B109" s="5" t="s">
        <v>120</v>
      </c>
      <c r="C109" s="5">
        <v>138</v>
      </c>
      <c r="D109" s="5">
        <v>215</v>
      </c>
      <c r="E109" s="5">
        <v>80</v>
      </c>
      <c r="F109" s="5">
        <v>75</v>
      </c>
      <c r="G109" s="5">
        <v>73</v>
      </c>
      <c r="H109" s="5">
        <v>71</v>
      </c>
      <c r="I109" s="5">
        <v>81</v>
      </c>
      <c r="J109" s="5">
        <f>SUM(E109:I109)</f>
        <v>380</v>
      </c>
      <c r="K109" s="5">
        <v>300</v>
      </c>
      <c r="L109" s="5">
        <v>3</v>
      </c>
      <c r="M109" s="5" t="s">
        <v>746</v>
      </c>
      <c r="N109" s="5">
        <v>10</v>
      </c>
      <c r="O109" s="5">
        <v>17</v>
      </c>
      <c r="P109" s="5"/>
      <c r="Q109" s="5"/>
      <c r="R109" s="5">
        <f>MAX(25, INT(POWER(2.2,J109/45)))</f>
        <v>779</v>
      </c>
      <c r="S109" s="5">
        <v>0</v>
      </c>
      <c r="T109" s="5">
        <v>1</v>
      </c>
      <c r="U109" s="5" t="s">
        <v>287</v>
      </c>
      <c r="V109" s="5"/>
      <c r="W109" s="5" t="s">
        <v>350</v>
      </c>
      <c r="X109" s="5" t="s">
        <v>381</v>
      </c>
      <c r="Y109" s="5" t="s">
        <v>318</v>
      </c>
      <c r="Z109" s="10" t="s">
        <v>71</v>
      </c>
      <c r="AA109" s="5" t="s">
        <v>513</v>
      </c>
      <c r="AB109" t="e">
        <f>COUNTIF([1]Sheet1!#REF!, "*"&amp; A109&amp;"*")</f>
        <v>#REF!</v>
      </c>
    </row>
    <row r="110" spans="1:28" x14ac:dyDescent="0.2">
      <c r="A110" s="5">
        <v>103023</v>
      </c>
      <c r="B110" s="5" t="s">
        <v>150</v>
      </c>
      <c r="C110" s="5">
        <v>153</v>
      </c>
      <c r="D110" s="5">
        <v>212</v>
      </c>
      <c r="E110" s="5">
        <v>23</v>
      </c>
      <c r="F110" s="5">
        <v>21</v>
      </c>
      <c r="G110" s="5">
        <v>83</v>
      </c>
      <c r="H110" s="5">
        <v>94</v>
      </c>
      <c r="I110" s="5">
        <v>79</v>
      </c>
      <c r="J110" s="5">
        <f>SUM(E110:I110)</f>
        <v>300</v>
      </c>
      <c r="K110" s="5">
        <v>250</v>
      </c>
      <c r="L110" s="5">
        <v>3</v>
      </c>
      <c r="M110" s="5" t="s">
        <v>743</v>
      </c>
      <c r="N110" s="5">
        <v>10</v>
      </c>
      <c r="O110" s="5">
        <v>17</v>
      </c>
      <c r="P110" s="5">
        <v>18</v>
      </c>
      <c r="Q110" s="5"/>
      <c r="R110" s="5">
        <f>MAX(25, INT(POWER(2.2,J110/45)))</f>
        <v>191</v>
      </c>
      <c r="S110" s="5">
        <v>0</v>
      </c>
      <c r="T110" s="5">
        <v>3</v>
      </c>
      <c r="U110" s="5" t="s">
        <v>292</v>
      </c>
      <c r="V110" s="5"/>
      <c r="W110" s="5" t="s">
        <v>326</v>
      </c>
      <c r="X110" s="5"/>
      <c r="Y110" s="5" t="s">
        <v>194</v>
      </c>
      <c r="Z110" s="10" t="s">
        <v>334</v>
      </c>
      <c r="AA110" s="5" t="s">
        <v>514</v>
      </c>
      <c r="AB110" t="e">
        <f>COUNTIF([1]Sheet1!#REF!, "*"&amp; A110&amp;"*")</f>
        <v>#REF!</v>
      </c>
    </row>
    <row r="111" spans="1:28" x14ac:dyDescent="0.2">
      <c r="A111" s="5">
        <v>103024</v>
      </c>
      <c r="B111" s="5" t="s">
        <v>124</v>
      </c>
      <c r="C111" s="5">
        <v>168</v>
      </c>
      <c r="D111" s="5">
        <v>243</v>
      </c>
      <c r="E111" s="5">
        <v>43</v>
      </c>
      <c r="F111" s="5">
        <v>18</v>
      </c>
      <c r="G111" s="5">
        <v>80</v>
      </c>
      <c r="H111" s="5">
        <v>92</v>
      </c>
      <c r="I111" s="5">
        <v>76</v>
      </c>
      <c r="J111" s="5">
        <f>SUM(E111:I111)</f>
        <v>309</v>
      </c>
      <c r="K111" s="5">
        <v>300</v>
      </c>
      <c r="L111" s="5">
        <v>3</v>
      </c>
      <c r="M111" s="5" t="s">
        <v>749</v>
      </c>
      <c r="N111" s="5">
        <v>10</v>
      </c>
      <c r="O111" s="5">
        <v>17</v>
      </c>
      <c r="P111" s="5">
        <v>15</v>
      </c>
      <c r="Q111" s="5"/>
      <c r="R111" s="5">
        <f>MAX(25, INT(POWER(2.2,J111/45)))</f>
        <v>224</v>
      </c>
      <c r="S111" s="5">
        <v>0</v>
      </c>
      <c r="T111" s="5">
        <v>3</v>
      </c>
      <c r="U111" s="5" t="s">
        <v>293</v>
      </c>
      <c r="V111" s="5"/>
      <c r="W111" s="5" t="s">
        <v>302</v>
      </c>
      <c r="X111" s="5"/>
      <c r="Y111" s="5" t="s">
        <v>188</v>
      </c>
      <c r="Z111" s="10" t="s">
        <v>332</v>
      </c>
      <c r="AA111" s="5" t="s">
        <v>515</v>
      </c>
      <c r="AB111" t="e">
        <f>COUNTIF([1]Sheet1!#REF!, "*"&amp; A111&amp;"*")</f>
        <v>#REF!</v>
      </c>
    </row>
    <row r="112" spans="1:28" x14ac:dyDescent="0.2">
      <c r="A112" s="5">
        <v>103025</v>
      </c>
      <c r="B112" s="5" t="s">
        <v>121</v>
      </c>
      <c r="C112" s="5">
        <v>177</v>
      </c>
      <c r="D112" s="5">
        <v>247</v>
      </c>
      <c r="E112" s="5">
        <v>72</v>
      </c>
      <c r="F112" s="5">
        <v>51</v>
      </c>
      <c r="G112" s="5">
        <v>84</v>
      </c>
      <c r="H112" s="5">
        <v>87</v>
      </c>
      <c r="I112" s="5">
        <v>65</v>
      </c>
      <c r="J112" s="5">
        <f>SUM(E112:I112)</f>
        <v>359</v>
      </c>
      <c r="K112" s="5">
        <v>315</v>
      </c>
      <c r="L112" s="5">
        <v>3</v>
      </c>
      <c r="M112" s="5" t="s">
        <v>748</v>
      </c>
      <c r="N112" s="5">
        <v>10</v>
      </c>
      <c r="O112" s="5">
        <v>17</v>
      </c>
      <c r="P112" s="5">
        <v>35</v>
      </c>
      <c r="Q112" s="5"/>
      <c r="R112" s="5">
        <f>MAX(25, INT(POWER(2.2,J112/45)))</f>
        <v>539</v>
      </c>
      <c r="S112" s="5">
        <v>0</v>
      </c>
      <c r="T112" s="5">
        <v>3</v>
      </c>
      <c r="U112" s="5" t="s">
        <v>299</v>
      </c>
      <c r="V112" s="5"/>
      <c r="W112" s="5" t="s">
        <v>380</v>
      </c>
      <c r="X112" s="5"/>
      <c r="Y112" s="5" t="s">
        <v>315</v>
      </c>
      <c r="Z112" s="10" t="s">
        <v>333</v>
      </c>
      <c r="AA112" s="5" t="s">
        <v>516</v>
      </c>
      <c r="AB112" t="e">
        <f>COUNTIF([1]Sheet1!#REF!, "*"&amp; A112&amp;"*")</f>
        <v>#REF!</v>
      </c>
    </row>
    <row r="113" spans="1:28" x14ac:dyDescent="0.2">
      <c r="A113" s="5">
        <v>103026</v>
      </c>
      <c r="B113" s="5" t="s">
        <v>125</v>
      </c>
      <c r="C113" s="5">
        <v>170</v>
      </c>
      <c r="D113" s="5">
        <v>243</v>
      </c>
      <c r="E113" s="5">
        <v>42</v>
      </c>
      <c r="F113" s="5">
        <v>48</v>
      </c>
      <c r="G113" s="5">
        <v>87</v>
      </c>
      <c r="H113" s="5">
        <v>85</v>
      </c>
      <c r="I113" s="5">
        <v>71</v>
      </c>
      <c r="J113" s="5">
        <f>SUM(E113:I113)</f>
        <v>333</v>
      </c>
      <c r="K113" s="5">
        <v>260</v>
      </c>
      <c r="L113" s="5">
        <v>3</v>
      </c>
      <c r="M113" s="5" t="s">
        <v>748</v>
      </c>
      <c r="N113" s="5">
        <v>10</v>
      </c>
      <c r="O113" s="5">
        <v>17</v>
      </c>
      <c r="P113" s="5">
        <v>15</v>
      </c>
      <c r="Q113" s="5"/>
      <c r="R113" s="5">
        <f>MAX(25, INT(POWER(2.2,J113/45)))</f>
        <v>341</v>
      </c>
      <c r="S113" s="5">
        <v>0</v>
      </c>
      <c r="T113" s="5">
        <v>3</v>
      </c>
      <c r="U113" s="5" t="s">
        <v>291</v>
      </c>
      <c r="V113" s="5"/>
      <c r="W113" s="5" t="s">
        <v>388</v>
      </c>
      <c r="X113" s="5"/>
      <c r="Y113" s="5" t="s">
        <v>188</v>
      </c>
      <c r="Z113" s="10" t="s">
        <v>70</v>
      </c>
      <c r="AA113" s="5" t="s">
        <v>517</v>
      </c>
      <c r="AB113" t="e">
        <f>COUNTIF([1]Sheet1!#REF!, "*"&amp; A113&amp;"*")</f>
        <v>#REF!</v>
      </c>
    </row>
    <row r="114" spans="1:28" x14ac:dyDescent="0.2">
      <c r="A114" s="5">
        <v>103027</v>
      </c>
      <c r="B114" s="5" t="s">
        <v>132</v>
      </c>
      <c r="C114" s="5">
        <v>156</v>
      </c>
      <c r="D114" s="5">
        <v>223</v>
      </c>
      <c r="E114" s="5">
        <v>75</v>
      </c>
      <c r="F114" s="5">
        <v>84</v>
      </c>
      <c r="G114" s="5">
        <v>54</v>
      </c>
      <c r="H114" s="5">
        <v>49</v>
      </c>
      <c r="I114" s="5">
        <v>67</v>
      </c>
      <c r="J114" s="5">
        <f>SUM(E114:I114)</f>
        <v>329</v>
      </c>
      <c r="K114" s="5">
        <v>300</v>
      </c>
      <c r="L114" s="5">
        <v>3</v>
      </c>
      <c r="M114" s="5" t="s">
        <v>744</v>
      </c>
      <c r="N114" s="5">
        <v>10</v>
      </c>
      <c r="O114" s="5">
        <v>17</v>
      </c>
      <c r="P114" s="5"/>
      <c r="Q114" s="5"/>
      <c r="R114" s="5">
        <f>MAX(25, INT(POWER(2.2,J114/45)))</f>
        <v>318</v>
      </c>
      <c r="S114" s="5">
        <v>0</v>
      </c>
      <c r="T114" s="5">
        <v>1</v>
      </c>
      <c r="U114" s="5" t="s">
        <v>287</v>
      </c>
      <c r="V114" s="5"/>
      <c r="W114" s="5" t="s">
        <v>327</v>
      </c>
      <c r="X114" s="5"/>
      <c r="Y114" s="5" t="s">
        <v>196</v>
      </c>
      <c r="Z114" s="10" t="s">
        <v>71</v>
      </c>
      <c r="AA114" s="5" t="s">
        <v>518</v>
      </c>
      <c r="AB114" t="e">
        <f>COUNTIF([1]Sheet1!#REF!, "*"&amp; A114&amp;"*")</f>
        <v>#REF!</v>
      </c>
    </row>
    <row r="115" spans="1:28" x14ac:dyDescent="0.2">
      <c r="A115" s="5">
        <v>103029</v>
      </c>
      <c r="B115" s="5" t="s">
        <v>135</v>
      </c>
      <c r="C115" s="5">
        <v>170</v>
      </c>
      <c r="D115" s="5">
        <v>215</v>
      </c>
      <c r="E115" s="5">
        <v>69</v>
      </c>
      <c r="F115" s="5">
        <v>63</v>
      </c>
      <c r="G115" s="5">
        <v>66</v>
      </c>
      <c r="H115" s="5">
        <v>72</v>
      </c>
      <c r="I115" s="5">
        <v>70</v>
      </c>
      <c r="J115" s="5">
        <f>SUM(E115:I115)</f>
        <v>340</v>
      </c>
      <c r="K115" s="5">
        <v>330</v>
      </c>
      <c r="L115" s="5">
        <v>3</v>
      </c>
      <c r="M115" s="5" t="s">
        <v>748</v>
      </c>
      <c r="N115" s="5">
        <v>10</v>
      </c>
      <c r="O115" s="5">
        <v>17</v>
      </c>
      <c r="P115" s="5"/>
      <c r="Q115" s="5"/>
      <c r="R115" s="5">
        <f>MAX(25, INT(POWER(2.2,J115/45)))</f>
        <v>386</v>
      </c>
      <c r="S115" s="5">
        <v>0</v>
      </c>
      <c r="T115" s="5">
        <v>1</v>
      </c>
      <c r="U115" s="5" t="s">
        <v>297</v>
      </c>
      <c r="V115" s="5"/>
      <c r="W115" s="5" t="s">
        <v>395</v>
      </c>
      <c r="X115" s="5"/>
      <c r="Y115" s="5" t="s">
        <v>313</v>
      </c>
      <c r="Z115" s="10" t="s">
        <v>71</v>
      </c>
      <c r="AA115" s="5" t="s">
        <v>521</v>
      </c>
      <c r="AB115" t="e">
        <f>COUNTIF([1]Sheet1!#REF!, "*"&amp; A115&amp;"*")</f>
        <v>#REF!</v>
      </c>
    </row>
    <row r="116" spans="1:28" x14ac:dyDescent="0.2">
      <c r="A116" s="5">
        <v>103031</v>
      </c>
      <c r="B116" s="5" t="s">
        <v>141</v>
      </c>
      <c r="C116" s="5">
        <v>178</v>
      </c>
      <c r="D116" s="5">
        <v>215</v>
      </c>
      <c r="E116" s="5">
        <v>74</v>
      </c>
      <c r="F116" s="5">
        <v>87</v>
      </c>
      <c r="G116" s="5">
        <v>43</v>
      </c>
      <c r="H116" s="5">
        <v>40</v>
      </c>
      <c r="I116" s="5">
        <v>62</v>
      </c>
      <c r="J116" s="5">
        <f>SUM(E116:I116)</f>
        <v>306</v>
      </c>
      <c r="K116" s="5">
        <v>305</v>
      </c>
      <c r="L116" s="5">
        <v>3</v>
      </c>
      <c r="M116" s="5" t="s">
        <v>749</v>
      </c>
      <c r="N116" s="5">
        <v>10</v>
      </c>
      <c r="O116" s="5">
        <v>17</v>
      </c>
      <c r="P116" s="5"/>
      <c r="Q116" s="5"/>
      <c r="R116" s="5">
        <f>MAX(25, INT(POWER(2.2,J116/45)))</f>
        <v>213</v>
      </c>
      <c r="S116" s="5">
        <v>0</v>
      </c>
      <c r="T116" s="5">
        <v>1</v>
      </c>
      <c r="U116" s="5" t="s">
        <v>288</v>
      </c>
      <c r="V116" s="5"/>
      <c r="W116" s="5" t="s">
        <v>368</v>
      </c>
      <c r="X116" s="5"/>
      <c r="Y116" s="5" t="s">
        <v>192</v>
      </c>
      <c r="Z116" s="10" t="s">
        <v>71</v>
      </c>
      <c r="AA116" s="5" t="s">
        <v>523</v>
      </c>
      <c r="AB116" t="e">
        <f>COUNTIF([1]Sheet1!#REF!, "*"&amp; A116&amp;"*")</f>
        <v>#REF!</v>
      </c>
    </row>
    <row r="117" spans="1:28" x14ac:dyDescent="0.2">
      <c r="A117" s="5">
        <v>103032</v>
      </c>
      <c r="B117" s="5" t="s">
        <v>143</v>
      </c>
      <c r="C117" s="5">
        <v>182</v>
      </c>
      <c r="D117" s="5">
        <v>249</v>
      </c>
      <c r="E117" s="5">
        <v>77</v>
      </c>
      <c r="F117" s="5">
        <v>67</v>
      </c>
      <c r="G117" s="5">
        <v>69</v>
      </c>
      <c r="H117" s="5">
        <v>58</v>
      </c>
      <c r="I117" s="5">
        <v>73</v>
      </c>
      <c r="J117" s="5">
        <f>SUM(E117:I117)</f>
        <v>344</v>
      </c>
      <c r="K117" s="5">
        <v>315</v>
      </c>
      <c r="L117" s="5">
        <v>3</v>
      </c>
      <c r="M117" s="5" t="s">
        <v>745</v>
      </c>
      <c r="N117" s="5">
        <v>10</v>
      </c>
      <c r="O117" s="5">
        <v>17</v>
      </c>
      <c r="P117" s="5"/>
      <c r="Q117" s="5"/>
      <c r="R117" s="5">
        <f>MAX(25, INT(POWER(2.2,J117/45)))</f>
        <v>414</v>
      </c>
      <c r="S117" s="5">
        <v>0</v>
      </c>
      <c r="T117" s="5">
        <v>1</v>
      </c>
      <c r="U117" s="5" t="s">
        <v>288</v>
      </c>
      <c r="V117" s="5"/>
      <c r="W117" s="5" t="s">
        <v>355</v>
      </c>
      <c r="X117" s="5"/>
      <c r="Y117" s="5" t="s">
        <v>313</v>
      </c>
      <c r="Z117" s="10" t="s">
        <v>71</v>
      </c>
      <c r="AA117" s="5" t="s">
        <v>524</v>
      </c>
      <c r="AB117" t="e">
        <f>COUNTIF([1]Sheet1!#REF!, "*"&amp; A117&amp;"*")</f>
        <v>#REF!</v>
      </c>
    </row>
    <row r="118" spans="1:28" x14ac:dyDescent="0.2">
      <c r="A118" s="5">
        <v>103033</v>
      </c>
      <c r="B118" s="5" t="s">
        <v>222</v>
      </c>
      <c r="C118" s="5">
        <v>188</v>
      </c>
      <c r="D118" s="5">
        <v>241</v>
      </c>
      <c r="E118" s="5">
        <v>76</v>
      </c>
      <c r="F118" s="5">
        <v>75</v>
      </c>
      <c r="G118" s="5">
        <v>71</v>
      </c>
      <c r="H118" s="5">
        <v>65</v>
      </c>
      <c r="I118" s="5">
        <v>70</v>
      </c>
      <c r="J118" s="5">
        <f>SUM(E118:I118)</f>
        <v>357</v>
      </c>
      <c r="K118" s="5">
        <v>310</v>
      </c>
      <c r="L118" s="5">
        <v>3</v>
      </c>
      <c r="M118" s="5" t="s">
        <v>745</v>
      </c>
      <c r="N118" s="5">
        <v>10</v>
      </c>
      <c r="O118" s="5">
        <v>17</v>
      </c>
      <c r="P118" s="5"/>
      <c r="Q118" s="5"/>
      <c r="R118" s="5">
        <f>MAX(25, INT(POWER(2.2,J118/45)))</f>
        <v>520</v>
      </c>
      <c r="S118" s="5">
        <v>0</v>
      </c>
      <c r="T118" s="5">
        <v>1</v>
      </c>
      <c r="U118" s="5" t="s">
        <v>287</v>
      </c>
      <c r="V118" s="5"/>
      <c r="W118" s="5" t="s">
        <v>390</v>
      </c>
      <c r="X118" s="5"/>
      <c r="Y118" s="5" t="s">
        <v>313</v>
      </c>
      <c r="Z118" s="10" t="s">
        <v>71</v>
      </c>
      <c r="AA118" s="5" t="s">
        <v>525</v>
      </c>
      <c r="AB118" t="e">
        <f>COUNTIF([1]Sheet1!#REF!, "*"&amp; A118&amp;"*")</f>
        <v>#REF!</v>
      </c>
    </row>
    <row r="119" spans="1:28" x14ac:dyDescent="0.2">
      <c r="A119" s="5">
        <v>103035</v>
      </c>
      <c r="B119" s="5" t="s">
        <v>149</v>
      </c>
      <c r="C119" s="5">
        <v>183</v>
      </c>
      <c r="D119" s="5">
        <v>243</v>
      </c>
      <c r="E119" s="5">
        <v>13</v>
      </c>
      <c r="F119" s="5">
        <v>2</v>
      </c>
      <c r="G119" s="5">
        <v>70</v>
      </c>
      <c r="H119" s="5">
        <v>85</v>
      </c>
      <c r="I119" s="5">
        <v>72</v>
      </c>
      <c r="J119" s="5">
        <f>SUM(E119:I119)</f>
        <v>242</v>
      </c>
      <c r="K119" s="5">
        <v>290</v>
      </c>
      <c r="L119" s="5">
        <v>3</v>
      </c>
      <c r="M119" s="5" t="s">
        <v>748</v>
      </c>
      <c r="N119" s="5">
        <v>10</v>
      </c>
      <c r="O119" s="5">
        <v>17</v>
      </c>
      <c r="P119" s="5">
        <v>15</v>
      </c>
      <c r="Q119" s="5"/>
      <c r="R119" s="5">
        <f>MAX(25, INT(POWER(2.2,J119/45)))</f>
        <v>69</v>
      </c>
      <c r="S119" s="5">
        <v>0</v>
      </c>
      <c r="T119" s="5">
        <v>3</v>
      </c>
      <c r="U119" s="5" t="s">
        <v>293</v>
      </c>
      <c r="V119" s="5"/>
      <c r="W119" s="5" t="s">
        <v>376</v>
      </c>
      <c r="X119" s="5"/>
      <c r="Y119" s="5" t="s">
        <v>188</v>
      </c>
      <c r="Z119" s="10" t="s">
        <v>332</v>
      </c>
      <c r="AA119" s="5" t="s">
        <v>527</v>
      </c>
      <c r="AB119" t="e">
        <f>COUNTIF([1]Sheet1!#REF!, "*"&amp; A119&amp;"*")</f>
        <v>#REF!</v>
      </c>
    </row>
    <row r="120" spans="1:28" x14ac:dyDescent="0.2">
      <c r="A120" s="5">
        <v>103036</v>
      </c>
      <c r="B120" s="5" t="s">
        <v>732</v>
      </c>
      <c r="C120" s="5">
        <v>161</v>
      </c>
      <c r="D120" s="5">
        <v>228</v>
      </c>
      <c r="E120" s="5">
        <v>73</v>
      </c>
      <c r="F120" s="5">
        <v>63</v>
      </c>
      <c r="G120" s="5">
        <v>74</v>
      </c>
      <c r="H120" s="5">
        <v>77</v>
      </c>
      <c r="I120" s="5">
        <v>69</v>
      </c>
      <c r="J120" s="5">
        <f>SUM(E120:I120)</f>
        <v>356</v>
      </c>
      <c r="K120" s="5">
        <v>310</v>
      </c>
      <c r="L120" s="5">
        <v>3</v>
      </c>
      <c r="M120" s="5" t="s">
        <v>746</v>
      </c>
      <c r="N120" s="5">
        <v>10</v>
      </c>
      <c r="O120" s="5">
        <v>17</v>
      </c>
      <c r="P120" s="5"/>
      <c r="Q120" s="5"/>
      <c r="R120" s="5">
        <f>MAX(25, INT(POWER(2.2,J120/45)))</f>
        <v>511</v>
      </c>
      <c r="S120" s="5">
        <v>0</v>
      </c>
      <c r="T120" s="5">
        <v>1</v>
      </c>
      <c r="U120" s="5" t="s">
        <v>298</v>
      </c>
      <c r="V120" s="5"/>
      <c r="W120" s="5"/>
      <c r="X120" s="5"/>
      <c r="Y120" s="5" t="s">
        <v>185</v>
      </c>
      <c r="Z120" s="10" t="s">
        <v>337</v>
      </c>
      <c r="AA120" s="5" t="s">
        <v>849</v>
      </c>
    </row>
    <row r="121" spans="1:28" x14ac:dyDescent="0.2">
      <c r="A121" s="5">
        <v>103037</v>
      </c>
      <c r="B121" s="5" t="s">
        <v>733</v>
      </c>
      <c r="C121" s="5">
        <v>183</v>
      </c>
      <c r="D121" s="5">
        <v>249</v>
      </c>
      <c r="E121" s="5">
        <v>64</v>
      </c>
      <c r="F121" s="5">
        <v>73</v>
      </c>
      <c r="G121" s="5">
        <v>61</v>
      </c>
      <c r="H121" s="5">
        <v>34</v>
      </c>
      <c r="I121" s="5">
        <v>36</v>
      </c>
      <c r="J121" s="5">
        <f>SUM(E121:I121)</f>
        <v>268</v>
      </c>
      <c r="K121" s="5">
        <v>310</v>
      </c>
      <c r="L121" s="5">
        <v>3</v>
      </c>
      <c r="M121" s="5" t="s">
        <v>749</v>
      </c>
      <c r="N121" s="5">
        <v>10</v>
      </c>
      <c r="O121" s="5">
        <v>17</v>
      </c>
      <c r="P121" s="5"/>
      <c r="Q121" s="5"/>
      <c r="R121" s="5">
        <f>MAX(25, INT(POWER(2.2,J121/45)))</f>
        <v>109</v>
      </c>
      <c r="S121" s="5">
        <v>0</v>
      </c>
      <c r="T121" s="5">
        <v>1</v>
      </c>
      <c r="U121" s="5" t="s">
        <v>298</v>
      </c>
      <c r="V121" s="5"/>
      <c r="W121" s="5"/>
      <c r="X121" s="5"/>
      <c r="Y121" s="5" t="s">
        <v>185</v>
      </c>
      <c r="Z121" s="10" t="s">
        <v>337</v>
      </c>
      <c r="AA121" s="5" t="s">
        <v>850</v>
      </c>
    </row>
    <row r="122" spans="1:28" x14ac:dyDescent="0.2">
      <c r="A122" s="5">
        <v>103038</v>
      </c>
      <c r="B122" s="5" t="s">
        <v>734</v>
      </c>
      <c r="C122" s="5">
        <v>178</v>
      </c>
      <c r="D122" s="5">
        <v>234</v>
      </c>
      <c r="E122" s="5">
        <v>49</v>
      </c>
      <c r="F122" s="5">
        <v>65</v>
      </c>
      <c r="G122" s="5">
        <v>71</v>
      </c>
      <c r="H122" s="5">
        <v>29</v>
      </c>
      <c r="I122" s="5">
        <v>52</v>
      </c>
      <c r="J122" s="5">
        <f>SUM(E122:I122)</f>
        <v>266</v>
      </c>
      <c r="K122" s="5">
        <v>310</v>
      </c>
      <c r="L122" s="5">
        <v>3</v>
      </c>
      <c r="M122" s="5" t="s">
        <v>747</v>
      </c>
      <c r="N122" s="5">
        <v>10</v>
      </c>
      <c r="O122" s="5">
        <v>17</v>
      </c>
      <c r="P122" s="5"/>
      <c r="Q122" s="5"/>
      <c r="R122" s="5">
        <f>MAX(25, INT(POWER(2.2,J122/45)))</f>
        <v>105</v>
      </c>
      <c r="S122" s="5">
        <v>0</v>
      </c>
      <c r="T122" s="5">
        <v>1</v>
      </c>
      <c r="U122" s="5" t="s">
        <v>298</v>
      </c>
      <c r="V122" s="5"/>
      <c r="W122" s="5"/>
      <c r="X122" s="5"/>
      <c r="Y122" s="5" t="s">
        <v>185</v>
      </c>
      <c r="Z122" s="10" t="s">
        <v>337</v>
      </c>
      <c r="AA122" s="5" t="s">
        <v>858</v>
      </c>
    </row>
    <row r="123" spans="1:28" x14ac:dyDescent="0.2">
      <c r="A123" s="5">
        <v>103039</v>
      </c>
      <c r="B123" s="5" t="s">
        <v>923</v>
      </c>
      <c r="C123" s="5">
        <v>170</v>
      </c>
      <c r="D123" s="5">
        <v>227</v>
      </c>
      <c r="E123" s="5">
        <v>83</v>
      </c>
      <c r="F123" s="5">
        <v>78</v>
      </c>
      <c r="G123" s="5">
        <v>42</v>
      </c>
      <c r="H123" s="5">
        <v>64</v>
      </c>
      <c r="I123" s="5">
        <v>73</v>
      </c>
      <c r="J123" s="5">
        <f>SUM(E123:I123)</f>
        <v>340</v>
      </c>
      <c r="K123" s="5">
        <v>310</v>
      </c>
      <c r="L123" s="5">
        <v>3</v>
      </c>
      <c r="M123" s="5" t="s">
        <v>743</v>
      </c>
      <c r="N123" s="5">
        <v>10</v>
      </c>
      <c r="O123" s="5">
        <v>17</v>
      </c>
      <c r="P123" s="5"/>
      <c r="Q123" s="5"/>
      <c r="R123" s="5">
        <f>MAX(25, INT(POWER(2.2,J123/45)))</f>
        <v>386</v>
      </c>
      <c r="S123" s="5">
        <v>0</v>
      </c>
      <c r="T123" s="5">
        <v>1</v>
      </c>
      <c r="U123" s="5" t="s">
        <v>298</v>
      </c>
      <c r="V123" s="5"/>
      <c r="W123" s="5"/>
      <c r="X123" s="5"/>
      <c r="Y123" s="5" t="s">
        <v>185</v>
      </c>
      <c r="Z123" s="10" t="s">
        <v>337</v>
      </c>
      <c r="AA123" s="5" t="s">
        <v>924</v>
      </c>
    </row>
    <row r="124" spans="1:28" x14ac:dyDescent="0.2">
      <c r="A124" s="5">
        <v>103040</v>
      </c>
      <c r="B124" s="5" t="s">
        <v>947</v>
      </c>
      <c r="C124" s="5">
        <v>183</v>
      </c>
      <c r="D124" s="5">
        <v>255</v>
      </c>
      <c r="E124" s="5">
        <v>78</v>
      </c>
      <c r="F124" s="5">
        <v>75</v>
      </c>
      <c r="G124" s="5">
        <v>64</v>
      </c>
      <c r="H124" s="5">
        <v>57</v>
      </c>
      <c r="I124" s="5">
        <v>62</v>
      </c>
      <c r="J124" s="5">
        <f>SUM(E124:I124)</f>
        <v>336</v>
      </c>
      <c r="K124" s="5">
        <v>310</v>
      </c>
      <c r="L124" s="5">
        <v>3</v>
      </c>
      <c r="M124" s="5" t="s">
        <v>743</v>
      </c>
      <c r="N124" s="5">
        <v>10</v>
      </c>
      <c r="O124" s="5">
        <v>17</v>
      </c>
      <c r="P124" s="5"/>
      <c r="Q124" s="5"/>
      <c r="R124" s="5">
        <f>MAX(25, INT(POWER(2.2,J124/45)))</f>
        <v>360</v>
      </c>
      <c r="S124" s="5">
        <v>0</v>
      </c>
      <c r="T124" s="5">
        <v>1</v>
      </c>
      <c r="U124" s="5" t="s">
        <v>298</v>
      </c>
      <c r="V124" s="5"/>
      <c r="W124" s="5"/>
      <c r="X124" s="5"/>
      <c r="Y124" s="5" t="s">
        <v>185</v>
      </c>
      <c r="Z124" s="10" t="s">
        <v>337</v>
      </c>
      <c r="AA124" s="5" t="s">
        <v>948</v>
      </c>
    </row>
    <row r="125" spans="1:28" x14ac:dyDescent="0.2">
      <c r="A125" s="5">
        <v>103041</v>
      </c>
      <c r="B125" s="5" t="s">
        <v>961</v>
      </c>
      <c r="C125" s="5">
        <v>164</v>
      </c>
      <c r="D125" s="5">
        <v>233</v>
      </c>
      <c r="E125" s="5">
        <v>43</v>
      </c>
      <c r="F125" s="5">
        <v>46</v>
      </c>
      <c r="G125" s="5">
        <v>86</v>
      </c>
      <c r="H125" s="5">
        <v>83</v>
      </c>
      <c r="I125" s="5">
        <v>46</v>
      </c>
      <c r="J125" s="5">
        <f>SUM(E125:I125)</f>
        <v>304</v>
      </c>
      <c r="K125" s="5">
        <v>310</v>
      </c>
      <c r="L125" s="5">
        <v>3</v>
      </c>
      <c r="M125" s="5" t="s">
        <v>743</v>
      </c>
      <c r="N125" s="5">
        <v>10</v>
      </c>
      <c r="O125" s="5">
        <v>17</v>
      </c>
      <c r="P125" s="5"/>
      <c r="Q125" s="5"/>
      <c r="R125" s="5">
        <f>MAX(25, INT(POWER(2.2,J125/45)))</f>
        <v>205</v>
      </c>
      <c r="S125" s="5">
        <v>0</v>
      </c>
      <c r="T125" s="5">
        <v>1</v>
      </c>
      <c r="U125" s="5" t="s">
        <v>298</v>
      </c>
      <c r="V125" s="5"/>
      <c r="W125" s="5"/>
      <c r="X125" s="5"/>
      <c r="Y125" s="5" t="s">
        <v>185</v>
      </c>
      <c r="Z125" s="10" t="s">
        <v>337</v>
      </c>
      <c r="AA125" s="5" t="s">
        <v>851</v>
      </c>
    </row>
    <row r="126" spans="1:28" x14ac:dyDescent="0.2">
      <c r="A126" s="5">
        <v>103042</v>
      </c>
      <c r="B126" s="5" t="s">
        <v>735</v>
      </c>
      <c r="C126" s="5">
        <v>187</v>
      </c>
      <c r="D126" s="5">
        <v>219</v>
      </c>
      <c r="E126" s="5">
        <v>19</v>
      </c>
      <c r="F126" s="5">
        <v>48</v>
      </c>
      <c r="G126" s="5">
        <v>61</v>
      </c>
      <c r="H126" s="5">
        <v>69</v>
      </c>
      <c r="I126" s="5">
        <v>41</v>
      </c>
      <c r="J126" s="5">
        <f>SUM(E126:I126)</f>
        <v>238</v>
      </c>
      <c r="K126" s="5">
        <v>310</v>
      </c>
      <c r="L126" s="5">
        <v>3</v>
      </c>
      <c r="M126" s="5" t="s">
        <v>743</v>
      </c>
      <c r="N126" s="5">
        <v>10</v>
      </c>
      <c r="O126" s="5">
        <v>17</v>
      </c>
      <c r="P126" s="5"/>
      <c r="Q126" s="5"/>
      <c r="R126" s="5">
        <f>MAX(25, INT(POWER(2.2,J126/45)))</f>
        <v>64</v>
      </c>
      <c r="S126" s="5">
        <v>0</v>
      </c>
      <c r="T126" s="5">
        <v>1</v>
      </c>
      <c r="U126" s="5" t="s">
        <v>298</v>
      </c>
      <c r="V126" s="5"/>
      <c r="W126" s="5"/>
      <c r="X126" s="5"/>
      <c r="Y126" s="5" t="s">
        <v>185</v>
      </c>
      <c r="Z126" s="10" t="s">
        <v>337</v>
      </c>
      <c r="AA126" s="5" t="s">
        <v>847</v>
      </c>
    </row>
    <row r="127" spans="1:28" x14ac:dyDescent="0.2">
      <c r="A127" s="5">
        <v>103043</v>
      </c>
      <c r="B127" s="5" t="s">
        <v>736</v>
      </c>
      <c r="C127" s="5">
        <v>168</v>
      </c>
      <c r="D127" s="5">
        <v>225</v>
      </c>
      <c r="E127" s="5">
        <v>16</v>
      </c>
      <c r="F127" s="5">
        <v>15</v>
      </c>
      <c r="G127" s="5">
        <v>71</v>
      </c>
      <c r="H127" s="5">
        <v>73</v>
      </c>
      <c r="I127" s="5">
        <v>65</v>
      </c>
      <c r="J127" s="5">
        <f>SUM(E127:I127)</f>
        <v>240</v>
      </c>
      <c r="K127" s="5">
        <v>310</v>
      </c>
      <c r="L127" s="5">
        <v>3</v>
      </c>
      <c r="M127" s="5" t="s">
        <v>746</v>
      </c>
      <c r="N127" s="5">
        <v>10</v>
      </c>
      <c r="O127" s="5">
        <v>17</v>
      </c>
      <c r="P127" s="5"/>
      <c r="Q127" s="5"/>
      <c r="R127" s="5">
        <f>MAX(25, INT(POWER(2.2,J127/45)))</f>
        <v>67</v>
      </c>
      <c r="S127" s="5">
        <v>0</v>
      </c>
      <c r="T127" s="5">
        <v>1</v>
      </c>
      <c r="U127" s="5" t="s">
        <v>298</v>
      </c>
      <c r="V127" s="5"/>
      <c r="W127" s="5"/>
      <c r="X127" s="5"/>
      <c r="Y127" s="5" t="s">
        <v>185</v>
      </c>
      <c r="Z127" s="10" t="s">
        <v>337</v>
      </c>
      <c r="AA127" s="5" t="s">
        <v>913</v>
      </c>
    </row>
    <row r="128" spans="1:28" x14ac:dyDescent="0.2">
      <c r="A128" s="5">
        <v>103044</v>
      </c>
      <c r="B128" s="5" t="s">
        <v>737</v>
      </c>
      <c r="C128" s="5">
        <v>161</v>
      </c>
      <c r="D128" s="5">
        <v>256</v>
      </c>
      <c r="E128" s="5">
        <v>81</v>
      </c>
      <c r="F128" s="5">
        <v>70</v>
      </c>
      <c r="G128" s="5">
        <v>68</v>
      </c>
      <c r="H128" s="5">
        <v>74</v>
      </c>
      <c r="I128" s="5">
        <v>62</v>
      </c>
      <c r="J128" s="5">
        <f>SUM(E128:I128)</f>
        <v>355</v>
      </c>
      <c r="K128" s="5">
        <v>310</v>
      </c>
      <c r="L128" s="5">
        <v>3</v>
      </c>
      <c r="M128" s="5" t="s">
        <v>744</v>
      </c>
      <c r="N128" s="5">
        <v>10</v>
      </c>
      <c r="O128" s="5">
        <v>17</v>
      </c>
      <c r="P128" s="5"/>
      <c r="Q128" s="5"/>
      <c r="R128" s="5">
        <f>MAX(25, INT(POWER(2.2,J128/45)))</f>
        <v>502</v>
      </c>
      <c r="S128" s="5">
        <v>0</v>
      </c>
      <c r="T128" s="5">
        <v>1</v>
      </c>
      <c r="U128" s="5" t="s">
        <v>298</v>
      </c>
      <c r="V128" s="5"/>
      <c r="W128" s="5"/>
      <c r="X128" s="5"/>
      <c r="Y128" s="5" t="s">
        <v>185</v>
      </c>
      <c r="Z128" s="10" t="s">
        <v>337</v>
      </c>
      <c r="AA128" s="5" t="s">
        <v>846</v>
      </c>
    </row>
    <row r="129" spans="1:27" x14ac:dyDescent="0.2">
      <c r="A129" s="5">
        <v>103045</v>
      </c>
      <c r="B129" s="5" t="s">
        <v>738</v>
      </c>
      <c r="C129" s="5">
        <v>177</v>
      </c>
      <c r="D129" s="5">
        <v>215</v>
      </c>
      <c r="E129" s="5">
        <v>77</v>
      </c>
      <c r="F129" s="5">
        <v>70</v>
      </c>
      <c r="G129" s="5">
        <v>68</v>
      </c>
      <c r="H129" s="5">
        <v>69</v>
      </c>
      <c r="I129" s="5">
        <v>78</v>
      </c>
      <c r="J129" s="5">
        <f>SUM(E129:I129)</f>
        <v>362</v>
      </c>
      <c r="K129" s="5">
        <v>310</v>
      </c>
      <c r="L129" s="5">
        <v>3</v>
      </c>
      <c r="M129" s="5" t="s">
        <v>744</v>
      </c>
      <c r="N129" s="5">
        <v>10</v>
      </c>
      <c r="O129" s="5">
        <v>17</v>
      </c>
      <c r="P129" s="5"/>
      <c r="Q129" s="5"/>
      <c r="R129" s="5">
        <f>MAX(25, INT(POWER(2.2,J129/45)))</f>
        <v>568</v>
      </c>
      <c r="S129" s="5">
        <v>0</v>
      </c>
      <c r="T129" s="5">
        <v>1</v>
      </c>
      <c r="U129" s="5" t="s">
        <v>298</v>
      </c>
      <c r="V129" s="5"/>
      <c r="W129" s="5"/>
      <c r="X129" s="5"/>
      <c r="Y129" s="5" t="s">
        <v>185</v>
      </c>
      <c r="Z129" s="10" t="s">
        <v>337</v>
      </c>
      <c r="AA129" s="5" t="s">
        <v>852</v>
      </c>
    </row>
    <row r="130" spans="1:27" x14ac:dyDescent="0.2">
      <c r="A130" s="5">
        <v>103046</v>
      </c>
      <c r="B130" s="5" t="s">
        <v>945</v>
      </c>
      <c r="C130" s="5">
        <v>190</v>
      </c>
      <c r="D130" s="5">
        <v>245</v>
      </c>
      <c r="E130" s="5">
        <v>66</v>
      </c>
      <c r="F130" s="5">
        <v>40</v>
      </c>
      <c r="G130" s="5">
        <v>76</v>
      </c>
      <c r="H130" s="5">
        <v>73</v>
      </c>
      <c r="I130" s="5">
        <v>70</v>
      </c>
      <c r="J130" s="5">
        <f>SUM(E130:I130)</f>
        <v>325</v>
      </c>
      <c r="K130" s="5">
        <v>310</v>
      </c>
      <c r="L130" s="5">
        <v>3</v>
      </c>
      <c r="M130" s="5" t="s">
        <v>744</v>
      </c>
      <c r="N130" s="5">
        <v>10</v>
      </c>
      <c r="O130" s="5">
        <v>17</v>
      </c>
      <c r="P130" s="5"/>
      <c r="Q130" s="5"/>
      <c r="R130" s="5">
        <f>MAX(25, INT(POWER(2.2,J130/45)))</f>
        <v>297</v>
      </c>
      <c r="S130" s="5">
        <v>0</v>
      </c>
      <c r="T130" s="5">
        <v>1</v>
      </c>
      <c r="U130" s="5" t="s">
        <v>298</v>
      </c>
      <c r="V130" s="5"/>
      <c r="W130" s="5"/>
      <c r="X130" s="5"/>
      <c r="Y130" s="5" t="s">
        <v>185</v>
      </c>
      <c r="Z130" s="10" t="s">
        <v>337</v>
      </c>
      <c r="AA130" s="5" t="s">
        <v>946</v>
      </c>
    </row>
    <row r="131" spans="1:27" x14ac:dyDescent="0.2">
      <c r="A131" s="5">
        <v>103047</v>
      </c>
      <c r="B131" s="5" t="s">
        <v>739</v>
      </c>
      <c r="C131" s="5">
        <v>180</v>
      </c>
      <c r="D131" s="5">
        <v>231</v>
      </c>
      <c r="E131" s="5">
        <v>56</v>
      </c>
      <c r="F131" s="5">
        <v>73</v>
      </c>
      <c r="G131" s="5">
        <v>18</v>
      </c>
      <c r="H131" s="5">
        <v>17</v>
      </c>
      <c r="I131" s="5">
        <v>22</v>
      </c>
      <c r="J131" s="5">
        <f>SUM(E131:I131)</f>
        <v>186</v>
      </c>
      <c r="K131" s="5">
        <v>310</v>
      </c>
      <c r="L131" s="5">
        <v>3</v>
      </c>
      <c r="M131" s="5" t="s">
        <v>746</v>
      </c>
      <c r="N131" s="5">
        <v>10</v>
      </c>
      <c r="O131" s="5">
        <v>17</v>
      </c>
      <c r="P131" s="5"/>
      <c r="Q131" s="5"/>
      <c r="R131" s="5">
        <f>MAX(25, INT(POWER(2.2,J131/45)))</f>
        <v>26</v>
      </c>
      <c r="S131" s="5">
        <v>0</v>
      </c>
      <c r="T131" s="5">
        <v>1</v>
      </c>
      <c r="U131" s="5" t="s">
        <v>298</v>
      </c>
      <c r="V131" s="5"/>
      <c r="W131" s="5"/>
      <c r="X131" s="5"/>
      <c r="Y131" s="5" t="s">
        <v>185</v>
      </c>
      <c r="Z131" s="10" t="s">
        <v>337</v>
      </c>
      <c r="AA131" s="5" t="s">
        <v>848</v>
      </c>
    </row>
    <row r="132" spans="1:27" x14ac:dyDescent="0.2">
      <c r="A132" s="5">
        <v>103048</v>
      </c>
      <c r="B132" s="5" t="s">
        <v>943</v>
      </c>
      <c r="C132" s="5">
        <v>178</v>
      </c>
      <c r="D132" s="5">
        <v>244</v>
      </c>
      <c r="E132" s="5">
        <v>77</v>
      </c>
      <c r="F132" s="5">
        <v>70</v>
      </c>
      <c r="G132" s="5">
        <v>75</v>
      </c>
      <c r="H132" s="5">
        <v>74</v>
      </c>
      <c r="I132" s="5">
        <v>74</v>
      </c>
      <c r="J132" s="5">
        <f>SUM(E132:I132)</f>
        <v>370</v>
      </c>
      <c r="K132" s="5">
        <v>310</v>
      </c>
      <c r="L132" s="5">
        <v>3</v>
      </c>
      <c r="M132" s="5" t="s">
        <v>747</v>
      </c>
      <c r="N132" s="5">
        <v>10</v>
      </c>
      <c r="O132" s="5">
        <v>17</v>
      </c>
      <c r="P132" s="5"/>
      <c r="Q132" s="5"/>
      <c r="R132" s="5">
        <f>MAX(25, INT(POWER(2.2,J132/45)))</f>
        <v>653</v>
      </c>
      <c r="S132" s="5">
        <v>0</v>
      </c>
      <c r="T132" s="5">
        <v>1</v>
      </c>
      <c r="U132" s="5" t="s">
        <v>298</v>
      </c>
      <c r="V132" s="5"/>
      <c r="W132" s="5"/>
      <c r="X132" s="5"/>
      <c r="Y132" s="5" t="s">
        <v>185</v>
      </c>
      <c r="Z132" s="10" t="s">
        <v>337</v>
      </c>
      <c r="AA132" s="5" t="s">
        <v>944</v>
      </c>
    </row>
    <row r="133" spans="1:27" x14ac:dyDescent="0.2">
      <c r="A133" s="5">
        <v>103049</v>
      </c>
      <c r="B133" s="5" t="s">
        <v>962</v>
      </c>
      <c r="C133" s="5">
        <v>183</v>
      </c>
      <c r="D133" s="5">
        <v>219</v>
      </c>
      <c r="E133" s="5">
        <v>75</v>
      </c>
      <c r="F133" s="5">
        <v>70</v>
      </c>
      <c r="G133" s="5">
        <v>64</v>
      </c>
      <c r="H133" s="5">
        <v>69</v>
      </c>
      <c r="I133" s="5">
        <v>71</v>
      </c>
      <c r="J133" s="5">
        <f>SUM(E133:I133)</f>
        <v>349</v>
      </c>
      <c r="K133" s="5">
        <v>310</v>
      </c>
      <c r="L133" s="5">
        <v>3</v>
      </c>
      <c r="M133" s="5" t="s">
        <v>747</v>
      </c>
      <c r="N133" s="5">
        <v>10</v>
      </c>
      <c r="O133" s="5">
        <v>17</v>
      </c>
      <c r="P133" s="5"/>
      <c r="Q133" s="5"/>
      <c r="R133" s="5">
        <f>MAX(25, INT(POWER(2.2,J133/45)))</f>
        <v>452</v>
      </c>
      <c r="S133" s="5">
        <v>0</v>
      </c>
      <c r="T133" s="5">
        <v>1</v>
      </c>
      <c r="U133" s="5" t="s">
        <v>298</v>
      </c>
      <c r="V133" s="5"/>
      <c r="W133" s="5"/>
      <c r="X133" s="5"/>
      <c r="Y133" s="5" t="s">
        <v>185</v>
      </c>
      <c r="Z133" s="10" t="s">
        <v>337</v>
      </c>
      <c r="AA133" s="5" t="s">
        <v>845</v>
      </c>
    </row>
    <row r="134" spans="1:27" x14ac:dyDescent="0.2">
      <c r="A134" s="5">
        <v>103050</v>
      </c>
      <c r="B134" s="5" t="s">
        <v>949</v>
      </c>
      <c r="C134" s="5">
        <v>182</v>
      </c>
      <c r="D134" s="5">
        <v>235</v>
      </c>
      <c r="E134" s="5">
        <v>69</v>
      </c>
      <c r="F134" s="5">
        <v>54</v>
      </c>
      <c r="G134" s="5">
        <v>70</v>
      </c>
      <c r="H134" s="5">
        <v>73</v>
      </c>
      <c r="I134" s="5">
        <v>73</v>
      </c>
      <c r="J134" s="5">
        <f>SUM(E134:I134)</f>
        <v>339</v>
      </c>
      <c r="K134" s="5">
        <v>310</v>
      </c>
      <c r="L134" s="5">
        <v>3</v>
      </c>
      <c r="M134" s="5" t="s">
        <v>747</v>
      </c>
      <c r="N134" s="5">
        <v>10</v>
      </c>
      <c r="O134" s="5">
        <v>17</v>
      </c>
      <c r="P134" s="5"/>
      <c r="Q134" s="5"/>
      <c r="R134" s="5">
        <f>MAX(25, INT(POWER(2.2,J134/45)))</f>
        <v>379</v>
      </c>
      <c r="S134" s="5">
        <v>0</v>
      </c>
      <c r="T134" s="5">
        <v>1</v>
      </c>
      <c r="U134" s="5" t="s">
        <v>298</v>
      </c>
      <c r="V134" s="5"/>
      <c r="W134" s="5"/>
      <c r="X134" s="5"/>
      <c r="Y134" s="5" t="s">
        <v>185</v>
      </c>
      <c r="Z134" s="10" t="s">
        <v>337</v>
      </c>
      <c r="AA134" s="5" t="s">
        <v>950</v>
      </c>
    </row>
    <row r="135" spans="1:27" x14ac:dyDescent="0.2">
      <c r="A135" s="5">
        <v>103052</v>
      </c>
      <c r="B135" s="5" t="s">
        <v>963</v>
      </c>
      <c r="C135" s="5">
        <v>175</v>
      </c>
      <c r="D135" s="5">
        <v>204</v>
      </c>
      <c r="E135" s="5">
        <v>49</v>
      </c>
      <c r="F135" s="5">
        <v>44</v>
      </c>
      <c r="G135" s="5">
        <v>45</v>
      </c>
      <c r="H135" s="5">
        <v>62</v>
      </c>
      <c r="I135" s="5">
        <v>53</v>
      </c>
      <c r="J135" s="5">
        <f>SUM(E135:I135)</f>
        <v>253</v>
      </c>
      <c r="K135" s="5">
        <v>310</v>
      </c>
      <c r="L135" s="5">
        <v>3</v>
      </c>
      <c r="M135" s="5" t="s">
        <v>745</v>
      </c>
      <c r="N135" s="5">
        <v>10</v>
      </c>
      <c r="O135" s="5">
        <v>17</v>
      </c>
      <c r="P135" s="5"/>
      <c r="Q135" s="5"/>
      <c r="R135" s="5">
        <f>MAX(25, INT(POWER(2.2,J135/45)))</f>
        <v>84</v>
      </c>
      <c r="S135" s="5">
        <v>0</v>
      </c>
      <c r="T135" s="5">
        <v>1</v>
      </c>
      <c r="U135" s="5" t="s">
        <v>298</v>
      </c>
      <c r="V135" s="5"/>
      <c r="W135" s="5"/>
      <c r="X135" s="5"/>
      <c r="Y135" s="5" t="s">
        <v>185</v>
      </c>
      <c r="Z135" s="10" t="s">
        <v>337</v>
      </c>
      <c r="AA135" s="5" t="s">
        <v>911</v>
      </c>
    </row>
    <row r="136" spans="1:27" x14ac:dyDescent="0.2">
      <c r="A136" s="5">
        <v>103054</v>
      </c>
      <c r="B136" s="5" t="s">
        <v>741</v>
      </c>
      <c r="C136" s="5">
        <v>176</v>
      </c>
      <c r="D136" s="5">
        <v>243</v>
      </c>
      <c r="E136" s="5">
        <v>32</v>
      </c>
      <c r="F136" s="5">
        <v>15</v>
      </c>
      <c r="G136" s="5">
        <v>68</v>
      </c>
      <c r="H136" s="5">
        <v>77</v>
      </c>
      <c r="I136" s="5">
        <v>59</v>
      </c>
      <c r="J136" s="5">
        <f>SUM(E136:I136)</f>
        <v>251</v>
      </c>
      <c r="K136" s="5">
        <v>310</v>
      </c>
      <c r="L136" s="5">
        <v>3</v>
      </c>
      <c r="M136" s="5" t="s">
        <v>744</v>
      </c>
      <c r="N136" s="5">
        <v>10</v>
      </c>
      <c r="O136" s="5">
        <v>17</v>
      </c>
      <c r="P136" s="5"/>
      <c r="Q136" s="5"/>
      <c r="R136" s="5">
        <f>MAX(25, INT(POWER(2.2,J136/45)))</f>
        <v>81</v>
      </c>
      <c r="S136" s="5">
        <v>0</v>
      </c>
      <c r="T136" s="5">
        <v>1</v>
      </c>
      <c r="U136" s="5" t="s">
        <v>298</v>
      </c>
      <c r="V136" s="5"/>
      <c r="W136" s="5"/>
      <c r="X136" s="5"/>
      <c r="Y136" s="5" t="s">
        <v>185</v>
      </c>
      <c r="Z136" s="10" t="s">
        <v>337</v>
      </c>
      <c r="AA136" s="5" t="s">
        <v>865</v>
      </c>
    </row>
    <row r="137" spans="1:27" x14ac:dyDescent="0.2">
      <c r="A137" s="5">
        <v>103055</v>
      </c>
      <c r="B137" s="5" t="s">
        <v>742</v>
      </c>
      <c r="C137" s="5">
        <v>185</v>
      </c>
      <c r="D137" s="5">
        <v>223</v>
      </c>
      <c r="E137" s="5">
        <v>32</v>
      </c>
      <c r="F137" s="5">
        <v>40</v>
      </c>
      <c r="G137" s="5">
        <v>28</v>
      </c>
      <c r="H137" s="5">
        <v>38</v>
      </c>
      <c r="I137" s="5">
        <v>42</v>
      </c>
      <c r="J137" s="5">
        <f>SUM(E137:I137)</f>
        <v>180</v>
      </c>
      <c r="K137" s="5">
        <v>310</v>
      </c>
      <c r="L137" s="5">
        <v>3</v>
      </c>
      <c r="M137" s="5" t="s">
        <v>744</v>
      </c>
      <c r="N137" s="5">
        <v>10</v>
      </c>
      <c r="O137" s="5">
        <v>17</v>
      </c>
      <c r="P137" s="5"/>
      <c r="Q137" s="5"/>
      <c r="R137" s="5">
        <f>MAX(25, INT(POWER(2.2,J137/45)))</f>
        <v>25</v>
      </c>
      <c r="S137" s="5">
        <v>0</v>
      </c>
      <c r="T137" s="5">
        <v>1</v>
      </c>
      <c r="U137" s="5" t="s">
        <v>298</v>
      </c>
      <c r="V137" s="5"/>
      <c r="W137" s="5"/>
      <c r="X137" s="5"/>
      <c r="Y137" s="5" t="s">
        <v>185</v>
      </c>
      <c r="Z137" s="10" t="s">
        <v>337</v>
      </c>
      <c r="AA137" s="5" t="s">
        <v>910</v>
      </c>
    </row>
    <row r="138" spans="1:27" x14ac:dyDescent="0.2">
      <c r="A138" s="5">
        <v>103056</v>
      </c>
      <c r="B138" s="5" t="s">
        <v>941</v>
      </c>
      <c r="C138" s="5">
        <v>156</v>
      </c>
      <c r="D138" s="5">
        <v>216</v>
      </c>
      <c r="E138" s="5">
        <v>29</v>
      </c>
      <c r="F138" s="5">
        <v>20</v>
      </c>
      <c r="G138" s="5">
        <v>70</v>
      </c>
      <c r="H138" s="5">
        <v>74</v>
      </c>
      <c r="I138" s="5">
        <v>81</v>
      </c>
      <c r="J138" s="5">
        <f>SUM(E138:I138)</f>
        <v>274</v>
      </c>
      <c r="K138" s="5">
        <v>310</v>
      </c>
      <c r="L138" s="5">
        <v>3</v>
      </c>
      <c r="M138" s="5" t="s">
        <v>745</v>
      </c>
      <c r="N138" s="5">
        <v>10</v>
      </c>
      <c r="O138" s="5">
        <v>17</v>
      </c>
      <c r="P138" s="5"/>
      <c r="Q138" s="5"/>
      <c r="R138" s="5">
        <f>MAX(25, INT(POWER(2.2,J138/45)))</f>
        <v>121</v>
      </c>
      <c r="S138" s="5">
        <v>0</v>
      </c>
      <c r="T138" s="5">
        <v>1</v>
      </c>
      <c r="U138" s="5" t="s">
        <v>298</v>
      </c>
      <c r="V138" s="5"/>
      <c r="W138" s="5"/>
      <c r="X138" s="5"/>
      <c r="Y138" s="5" t="s">
        <v>185</v>
      </c>
      <c r="Z138" s="10" t="s">
        <v>337</v>
      </c>
      <c r="AA138" s="5" t="s">
        <v>942</v>
      </c>
    </row>
    <row r="139" spans="1:27" x14ac:dyDescent="0.2">
      <c r="A139" s="13">
        <v>100004</v>
      </c>
      <c r="B139" s="13" t="s">
        <v>156</v>
      </c>
      <c r="C139" s="13">
        <v>154</v>
      </c>
      <c r="D139" s="13">
        <v>202</v>
      </c>
      <c r="E139" s="5">
        <v>86</v>
      </c>
      <c r="F139" s="5">
        <v>73</v>
      </c>
      <c r="G139" s="5">
        <v>70</v>
      </c>
      <c r="H139" s="5">
        <v>73</v>
      </c>
      <c r="I139" s="5">
        <v>90</v>
      </c>
      <c r="J139" s="5">
        <f>SUM(E139:I139)</f>
        <v>392</v>
      </c>
      <c r="K139" s="5">
        <v>310</v>
      </c>
      <c r="L139" s="5">
        <v>4</v>
      </c>
      <c r="M139" s="5" t="s">
        <v>750</v>
      </c>
      <c r="N139" s="5">
        <v>10</v>
      </c>
      <c r="O139" s="5">
        <v>17</v>
      </c>
      <c r="P139" s="5"/>
      <c r="Q139" s="5"/>
      <c r="R139" s="5">
        <v>0</v>
      </c>
      <c r="S139" s="5">
        <v>0</v>
      </c>
      <c r="T139" s="5">
        <v>1</v>
      </c>
      <c r="U139" s="5" t="s">
        <v>284</v>
      </c>
      <c r="V139" s="5"/>
      <c r="W139" s="5"/>
      <c r="X139" s="5"/>
      <c r="Y139" s="5" t="s">
        <v>184</v>
      </c>
      <c r="Z139" s="10" t="s">
        <v>71</v>
      </c>
      <c r="AA139" s="5" t="s">
        <v>407</v>
      </c>
    </row>
    <row r="140" spans="1:27" x14ac:dyDescent="0.2">
      <c r="A140" s="5">
        <v>104001</v>
      </c>
      <c r="B140" s="5" t="s">
        <v>159</v>
      </c>
      <c r="C140" s="5">
        <v>167</v>
      </c>
      <c r="D140" s="5">
        <v>231</v>
      </c>
      <c r="E140" s="5">
        <v>89</v>
      </c>
      <c r="F140" s="5">
        <v>90</v>
      </c>
      <c r="G140" s="5">
        <v>69</v>
      </c>
      <c r="H140" s="5">
        <v>56</v>
      </c>
      <c r="I140" s="5">
        <v>70</v>
      </c>
      <c r="J140" s="5">
        <f>SUM(E140:I140)</f>
        <v>374</v>
      </c>
      <c r="K140" s="5">
        <v>300</v>
      </c>
      <c r="L140" s="5">
        <v>4</v>
      </c>
      <c r="M140" s="5" t="s">
        <v>750</v>
      </c>
      <c r="N140" s="5">
        <v>10</v>
      </c>
      <c r="O140" s="5">
        <v>17</v>
      </c>
      <c r="P140" s="5"/>
      <c r="Q140" s="5"/>
      <c r="R140" s="5">
        <f>MAX(25, INT(POWER(2.2,J140/45)))</f>
        <v>701</v>
      </c>
      <c r="S140" s="5">
        <v>0</v>
      </c>
      <c r="T140" s="5">
        <v>1</v>
      </c>
      <c r="U140" s="5" t="s">
        <v>286</v>
      </c>
      <c r="V140" s="5"/>
      <c r="W140" s="5" t="s">
        <v>348</v>
      </c>
      <c r="X140" s="5"/>
      <c r="Y140" s="5" t="s">
        <v>195</v>
      </c>
      <c r="Z140" s="10" t="s">
        <v>72</v>
      </c>
      <c r="AA140" s="5" t="s">
        <v>455</v>
      </c>
    </row>
    <row r="141" spans="1:27" x14ac:dyDescent="0.2">
      <c r="A141" s="5">
        <v>104002</v>
      </c>
      <c r="B141" s="5" t="s">
        <v>96</v>
      </c>
      <c r="C141" s="5">
        <v>165</v>
      </c>
      <c r="D141" s="5">
        <v>200</v>
      </c>
      <c r="E141" s="5">
        <v>78</v>
      </c>
      <c r="F141" s="5">
        <v>93</v>
      </c>
      <c r="G141" s="5">
        <v>42</v>
      </c>
      <c r="H141" s="5">
        <v>32</v>
      </c>
      <c r="I141" s="5">
        <v>53</v>
      </c>
      <c r="J141" s="5">
        <f>SUM(E141:I141)</f>
        <v>298</v>
      </c>
      <c r="K141" s="5">
        <v>340</v>
      </c>
      <c r="L141" s="5">
        <v>4</v>
      </c>
      <c r="M141" s="5" t="s">
        <v>751</v>
      </c>
      <c r="N141" s="5">
        <v>10</v>
      </c>
      <c r="O141" s="5">
        <v>17</v>
      </c>
      <c r="P141" s="5"/>
      <c r="Q141" s="5"/>
      <c r="R141" s="5">
        <f>MAX(25, INT(POWER(2.2,J141/45)))</f>
        <v>185</v>
      </c>
      <c r="S141" s="5">
        <v>0</v>
      </c>
      <c r="T141" s="5">
        <v>1</v>
      </c>
      <c r="U141" s="5" t="s">
        <v>286</v>
      </c>
      <c r="V141" s="5"/>
      <c r="W141" s="5" t="s">
        <v>258</v>
      </c>
      <c r="X141" s="5"/>
      <c r="Y141" s="5" t="s">
        <v>189</v>
      </c>
      <c r="Z141" s="10" t="s">
        <v>175</v>
      </c>
      <c r="AA141" s="5" t="s">
        <v>547</v>
      </c>
    </row>
    <row r="142" spans="1:27" x14ac:dyDescent="0.2">
      <c r="A142" s="5">
        <v>104003</v>
      </c>
      <c r="B142" s="5" t="s">
        <v>97</v>
      </c>
      <c r="C142" s="5">
        <v>163</v>
      </c>
      <c r="D142" s="5">
        <v>200</v>
      </c>
      <c r="E142" s="5">
        <v>79</v>
      </c>
      <c r="F142" s="5">
        <v>92</v>
      </c>
      <c r="G142" s="5">
        <v>48</v>
      </c>
      <c r="H142" s="5">
        <v>52</v>
      </c>
      <c r="I142" s="5">
        <v>68</v>
      </c>
      <c r="J142" s="5">
        <f>SUM(E142:I142)</f>
        <v>339</v>
      </c>
      <c r="K142" s="5">
        <v>355</v>
      </c>
      <c r="L142" s="5">
        <v>4</v>
      </c>
      <c r="M142" s="5" t="s">
        <v>752</v>
      </c>
      <c r="N142" s="5">
        <v>10</v>
      </c>
      <c r="O142" s="5">
        <v>17</v>
      </c>
      <c r="P142" s="5"/>
      <c r="Q142" s="5"/>
      <c r="R142" s="5">
        <f>MAX(25, INT(POWER(2.2,J142/45)))</f>
        <v>379</v>
      </c>
      <c r="S142" s="5">
        <v>0</v>
      </c>
      <c r="T142" s="5">
        <v>1</v>
      </c>
      <c r="U142" s="5" t="s">
        <v>286</v>
      </c>
      <c r="V142" s="5"/>
      <c r="W142" s="5" t="s">
        <v>264</v>
      </c>
      <c r="X142" s="5"/>
      <c r="Y142" s="5" t="s">
        <v>192</v>
      </c>
      <c r="Z142" s="10" t="s">
        <v>71</v>
      </c>
      <c r="AA142" s="5" t="s">
        <v>548</v>
      </c>
    </row>
    <row r="143" spans="1:27" x14ac:dyDescent="0.2">
      <c r="A143" s="5">
        <v>104004</v>
      </c>
      <c r="B143" s="5" t="s">
        <v>209</v>
      </c>
      <c r="C143" s="5">
        <v>170</v>
      </c>
      <c r="D143" s="5">
        <v>200</v>
      </c>
      <c r="E143" s="5">
        <v>72</v>
      </c>
      <c r="F143" s="5">
        <v>33</v>
      </c>
      <c r="G143" s="5">
        <v>93</v>
      </c>
      <c r="H143" s="5">
        <v>89</v>
      </c>
      <c r="I143" s="5">
        <v>64</v>
      </c>
      <c r="J143" s="5">
        <f>SUM(E143:I143)</f>
        <v>351</v>
      </c>
      <c r="K143" s="5">
        <v>250</v>
      </c>
      <c r="L143" s="5">
        <v>4</v>
      </c>
      <c r="M143" s="5" t="s">
        <v>752</v>
      </c>
      <c r="N143" s="5">
        <v>10</v>
      </c>
      <c r="O143" s="5">
        <v>17</v>
      </c>
      <c r="P143" s="5">
        <v>15</v>
      </c>
      <c r="Q143" s="5"/>
      <c r="R143" s="5">
        <f>MAX(25, INT(POWER(2.2,J143/45)))</f>
        <v>468</v>
      </c>
      <c r="S143" s="5">
        <v>0</v>
      </c>
      <c r="T143" s="5">
        <v>3</v>
      </c>
      <c r="U143" s="5" t="s">
        <v>291</v>
      </c>
      <c r="V143" s="5"/>
      <c r="W143" s="5" t="s">
        <v>373</v>
      </c>
      <c r="X143" s="5"/>
      <c r="Y143" s="5" t="s">
        <v>188</v>
      </c>
      <c r="Z143" s="10" t="s">
        <v>70</v>
      </c>
      <c r="AA143" s="5" t="s">
        <v>549</v>
      </c>
    </row>
    <row r="144" spans="1:27" x14ac:dyDescent="0.2">
      <c r="A144" s="5">
        <v>104005</v>
      </c>
      <c r="B144" s="5" t="s">
        <v>210</v>
      </c>
      <c r="C144" s="5">
        <v>158</v>
      </c>
      <c r="D144" s="5">
        <v>191</v>
      </c>
      <c r="E144" s="5">
        <v>72</v>
      </c>
      <c r="F144" s="5">
        <v>78</v>
      </c>
      <c r="G144" s="5">
        <v>55</v>
      </c>
      <c r="H144" s="5">
        <v>18</v>
      </c>
      <c r="I144" s="5">
        <v>37</v>
      </c>
      <c r="J144" s="5">
        <f>SUM(E144:I144)</f>
        <v>260</v>
      </c>
      <c r="K144" s="5">
        <v>250</v>
      </c>
      <c r="L144" s="5">
        <v>4</v>
      </c>
      <c r="M144" s="5" t="s">
        <v>753</v>
      </c>
      <c r="N144" s="5">
        <v>10</v>
      </c>
      <c r="O144" s="5">
        <v>17</v>
      </c>
      <c r="P144" s="5">
        <v>22</v>
      </c>
      <c r="Q144" s="5">
        <v>1.5</v>
      </c>
      <c r="R144" s="5">
        <f>MAX(25, INT(POWER(2.2,J144/45)))</f>
        <v>95</v>
      </c>
      <c r="S144" s="5">
        <v>0</v>
      </c>
      <c r="T144" s="5">
        <v>3</v>
      </c>
      <c r="U144" s="5" t="s">
        <v>294</v>
      </c>
      <c r="V144" s="5"/>
      <c r="W144" s="5"/>
      <c r="X144" s="5"/>
      <c r="Y144" s="5" t="s">
        <v>187</v>
      </c>
      <c r="Z144" s="10" t="s">
        <v>166</v>
      </c>
      <c r="AA144" s="5" t="s">
        <v>550</v>
      </c>
    </row>
    <row r="145" spans="1:27" x14ac:dyDescent="0.2">
      <c r="A145" s="5">
        <v>104006</v>
      </c>
      <c r="B145" s="5" t="s">
        <v>211</v>
      </c>
      <c r="C145" s="5">
        <v>155</v>
      </c>
      <c r="D145" s="5">
        <v>204</v>
      </c>
      <c r="E145" s="5">
        <v>39</v>
      </c>
      <c r="F145" s="5">
        <v>29</v>
      </c>
      <c r="G145" s="5">
        <v>80</v>
      </c>
      <c r="H145" s="5">
        <v>57</v>
      </c>
      <c r="I145" s="5">
        <v>23</v>
      </c>
      <c r="J145" s="5">
        <f>SUM(E145:I145)</f>
        <v>228</v>
      </c>
      <c r="K145" s="5">
        <v>285</v>
      </c>
      <c r="L145" s="5">
        <v>4</v>
      </c>
      <c r="M145" s="5" t="s">
        <v>750</v>
      </c>
      <c r="N145" s="5">
        <v>10</v>
      </c>
      <c r="O145" s="5">
        <v>17</v>
      </c>
      <c r="P145" s="5">
        <v>15</v>
      </c>
      <c r="Q145" s="5"/>
      <c r="R145" s="5">
        <f>MAX(25, INT(POWER(2.2,J145/45)))</f>
        <v>54</v>
      </c>
      <c r="S145" s="5">
        <v>0</v>
      </c>
      <c r="T145" s="5">
        <v>3</v>
      </c>
      <c r="U145" s="5" t="s">
        <v>291</v>
      </c>
      <c r="V145" s="5"/>
      <c r="W145" s="5" t="s">
        <v>369</v>
      </c>
      <c r="X145" s="5"/>
      <c r="Y145" s="5" t="s">
        <v>188</v>
      </c>
      <c r="Z145" s="10" t="s">
        <v>70</v>
      </c>
      <c r="AA145" s="5" t="s">
        <v>551</v>
      </c>
    </row>
    <row r="146" spans="1:27" x14ac:dyDescent="0.2">
      <c r="A146" s="5">
        <v>104007</v>
      </c>
      <c r="B146" s="5" t="s">
        <v>212</v>
      </c>
      <c r="C146" s="5">
        <v>168</v>
      </c>
      <c r="D146" s="5">
        <v>200</v>
      </c>
      <c r="E146" s="5">
        <v>76</v>
      </c>
      <c r="F146" s="5">
        <v>82</v>
      </c>
      <c r="G146" s="5">
        <v>66</v>
      </c>
      <c r="H146" s="5">
        <v>55</v>
      </c>
      <c r="I146" s="5">
        <v>62</v>
      </c>
      <c r="J146" s="5">
        <f>SUM(E146:I146)</f>
        <v>341</v>
      </c>
      <c r="K146" s="5">
        <v>305</v>
      </c>
      <c r="L146" s="5">
        <v>4</v>
      </c>
      <c r="M146" s="5" t="s">
        <v>750</v>
      </c>
      <c r="N146" s="5">
        <v>10</v>
      </c>
      <c r="O146" s="5">
        <v>17</v>
      </c>
      <c r="P146" s="5"/>
      <c r="Q146" s="5"/>
      <c r="R146" s="5">
        <f>MAX(25, INT(POWER(2.2,J146/45)))</f>
        <v>393</v>
      </c>
      <c r="S146" s="5">
        <v>0</v>
      </c>
      <c r="T146" s="5">
        <v>1</v>
      </c>
      <c r="U146" s="5" t="s">
        <v>288</v>
      </c>
      <c r="V146" s="5"/>
      <c r="W146" s="5"/>
      <c r="X146" s="5"/>
      <c r="Y146" s="5" t="s">
        <v>307</v>
      </c>
      <c r="Z146" s="10" t="s">
        <v>71</v>
      </c>
      <c r="AA146" s="5" t="s">
        <v>552</v>
      </c>
    </row>
    <row r="147" spans="1:27" x14ac:dyDescent="0.2">
      <c r="A147" s="5">
        <v>104008</v>
      </c>
      <c r="B147" s="5" t="s">
        <v>213</v>
      </c>
      <c r="C147" s="5">
        <v>169</v>
      </c>
      <c r="D147" s="5">
        <v>200</v>
      </c>
      <c r="E147" s="5">
        <v>78</v>
      </c>
      <c r="F147" s="5">
        <v>35</v>
      </c>
      <c r="G147" s="5">
        <v>90</v>
      </c>
      <c r="H147" s="5">
        <v>91</v>
      </c>
      <c r="I147" s="5">
        <v>74</v>
      </c>
      <c r="J147" s="5">
        <f>SUM(E147:I147)</f>
        <v>368</v>
      </c>
      <c r="K147" s="5">
        <v>260</v>
      </c>
      <c r="L147" s="5">
        <v>4</v>
      </c>
      <c r="M147" s="5" t="s">
        <v>750</v>
      </c>
      <c r="N147" s="5">
        <v>10</v>
      </c>
      <c r="O147" s="5">
        <v>17</v>
      </c>
      <c r="P147" s="5">
        <v>15</v>
      </c>
      <c r="Q147" s="5"/>
      <c r="R147" s="5">
        <f>MAX(25, INT(POWER(2.2,J147/45)))</f>
        <v>631</v>
      </c>
      <c r="S147" s="5">
        <v>0</v>
      </c>
      <c r="T147" s="5">
        <v>3</v>
      </c>
      <c r="U147" s="5" t="s">
        <v>291</v>
      </c>
      <c r="V147" s="5"/>
      <c r="W147" s="5" t="s">
        <v>357</v>
      </c>
      <c r="X147" s="5"/>
      <c r="Y147" s="5" t="s">
        <v>188</v>
      </c>
      <c r="Z147" s="10" t="s">
        <v>70</v>
      </c>
      <c r="AA147" s="5" t="s">
        <v>553</v>
      </c>
    </row>
    <row r="148" spans="1:27" x14ac:dyDescent="0.2">
      <c r="A148" s="5">
        <v>104009</v>
      </c>
      <c r="B148" s="5" t="s">
        <v>214</v>
      </c>
      <c r="C148" s="5">
        <v>170</v>
      </c>
      <c r="D148" s="5">
        <v>205</v>
      </c>
      <c r="E148" s="5">
        <v>52</v>
      </c>
      <c r="F148" s="5">
        <v>50</v>
      </c>
      <c r="G148" s="5">
        <v>82</v>
      </c>
      <c r="H148" s="5">
        <v>70</v>
      </c>
      <c r="I148" s="5">
        <v>37</v>
      </c>
      <c r="J148" s="5">
        <f>SUM(E148:I148)</f>
        <v>291</v>
      </c>
      <c r="K148" s="5">
        <v>290</v>
      </c>
      <c r="L148" s="5">
        <v>4</v>
      </c>
      <c r="M148" s="5" t="s">
        <v>751</v>
      </c>
      <c r="N148" s="5">
        <v>10</v>
      </c>
      <c r="O148" s="5">
        <v>17</v>
      </c>
      <c r="P148" s="5">
        <v>15</v>
      </c>
      <c r="Q148" s="5"/>
      <c r="R148" s="5">
        <f>MAX(25, INT(POWER(2.2,J148/45)))</f>
        <v>163</v>
      </c>
      <c r="S148" s="5">
        <v>0</v>
      </c>
      <c r="T148" s="5">
        <v>3</v>
      </c>
      <c r="U148" s="5" t="s">
        <v>293</v>
      </c>
      <c r="V148" s="5"/>
      <c r="W148" s="5" t="s">
        <v>326</v>
      </c>
      <c r="X148" s="5" t="s">
        <v>378</v>
      </c>
      <c r="Y148" s="5" t="s">
        <v>194</v>
      </c>
      <c r="Z148" s="10" t="s">
        <v>332</v>
      </c>
      <c r="AA148" s="5" t="s">
        <v>554</v>
      </c>
    </row>
    <row r="149" spans="1:27" x14ac:dyDescent="0.2">
      <c r="A149" s="5">
        <v>104011</v>
      </c>
      <c r="B149" s="5" t="s">
        <v>635</v>
      </c>
      <c r="C149" s="5">
        <v>172</v>
      </c>
      <c r="D149" s="5">
        <v>206</v>
      </c>
      <c r="E149" s="5">
        <v>65</v>
      </c>
      <c r="F149" s="5">
        <v>72</v>
      </c>
      <c r="G149" s="5">
        <v>33</v>
      </c>
      <c r="H149" s="5">
        <v>32</v>
      </c>
      <c r="I149" s="5">
        <v>39</v>
      </c>
      <c r="J149" s="5">
        <f>SUM(E149:I149)</f>
        <v>241</v>
      </c>
      <c r="K149" s="5">
        <v>310</v>
      </c>
      <c r="L149" s="5">
        <v>4</v>
      </c>
      <c r="M149" s="5" t="s">
        <v>753</v>
      </c>
      <c r="N149" s="5">
        <v>10</v>
      </c>
      <c r="O149" s="5">
        <v>17</v>
      </c>
      <c r="P149" s="5"/>
      <c r="Q149" s="5"/>
      <c r="R149" s="5">
        <f>MAX(25, INT(POWER(2.2,J149/45)))</f>
        <v>68</v>
      </c>
      <c r="S149" s="5">
        <v>0</v>
      </c>
      <c r="T149" s="5">
        <v>1</v>
      </c>
      <c r="U149" s="5" t="s">
        <v>298</v>
      </c>
      <c r="V149" s="5"/>
      <c r="W149" s="5"/>
      <c r="X149" s="5"/>
      <c r="Y149" s="5" t="s">
        <v>185</v>
      </c>
      <c r="Z149" s="10" t="s">
        <v>337</v>
      </c>
      <c r="AA149" s="5" t="s">
        <v>825</v>
      </c>
    </row>
    <row r="150" spans="1:27" x14ac:dyDescent="0.2">
      <c r="A150" s="5">
        <v>104012</v>
      </c>
      <c r="B150" s="5" t="s">
        <v>636</v>
      </c>
      <c r="C150" s="5">
        <v>175</v>
      </c>
      <c r="D150" s="5">
        <v>204</v>
      </c>
      <c r="E150" s="5">
        <v>54</v>
      </c>
      <c r="F150" s="5">
        <v>71</v>
      </c>
      <c r="G150" s="5">
        <v>12</v>
      </c>
      <c r="H150" s="5">
        <v>19</v>
      </c>
      <c r="I150" s="5">
        <v>28</v>
      </c>
      <c r="J150" s="5">
        <f>SUM(E150:I150)</f>
        <v>184</v>
      </c>
      <c r="K150" s="5">
        <v>310</v>
      </c>
      <c r="L150" s="5">
        <v>4</v>
      </c>
      <c r="M150" s="5" t="s">
        <v>750</v>
      </c>
      <c r="N150" s="5">
        <v>10</v>
      </c>
      <c r="O150" s="5">
        <v>17</v>
      </c>
      <c r="P150" s="5"/>
      <c r="Q150" s="5"/>
      <c r="R150" s="5">
        <f>MAX(25, INT(POWER(2.2,J150/45)))</f>
        <v>25</v>
      </c>
      <c r="S150" s="5">
        <v>0</v>
      </c>
      <c r="T150" s="5">
        <v>1</v>
      </c>
      <c r="U150" s="5" t="s">
        <v>298</v>
      </c>
      <c r="V150" s="5"/>
      <c r="W150" s="5"/>
      <c r="X150" s="5"/>
      <c r="Y150" s="5" t="s">
        <v>185</v>
      </c>
      <c r="Z150" s="10" t="s">
        <v>337</v>
      </c>
      <c r="AA150" s="5" t="s">
        <v>824</v>
      </c>
    </row>
    <row r="151" spans="1:27" x14ac:dyDescent="0.2">
      <c r="A151" s="5">
        <v>104013</v>
      </c>
      <c r="B151" s="5" t="s">
        <v>637</v>
      </c>
      <c r="C151" s="5">
        <v>174</v>
      </c>
      <c r="D151" s="5">
        <v>204</v>
      </c>
      <c r="E151" s="5">
        <v>56</v>
      </c>
      <c r="F151" s="5">
        <v>70</v>
      </c>
      <c r="G151" s="5">
        <v>13</v>
      </c>
      <c r="H151" s="5">
        <v>22</v>
      </c>
      <c r="I151" s="5">
        <v>29</v>
      </c>
      <c r="J151" s="5">
        <f>SUM(E151:I151)</f>
        <v>190</v>
      </c>
      <c r="K151" s="5">
        <v>310</v>
      </c>
      <c r="L151" s="5">
        <v>4</v>
      </c>
      <c r="M151" s="5" t="s">
        <v>751</v>
      </c>
      <c r="N151" s="5">
        <v>10</v>
      </c>
      <c r="O151" s="5">
        <v>17</v>
      </c>
      <c r="P151" s="5"/>
      <c r="Q151" s="5"/>
      <c r="R151" s="5">
        <f>MAX(25, INT(POWER(2.2,J151/45)))</f>
        <v>27</v>
      </c>
      <c r="S151" s="5">
        <v>0</v>
      </c>
      <c r="T151" s="5">
        <v>1</v>
      </c>
      <c r="U151" s="5" t="s">
        <v>298</v>
      </c>
      <c r="V151" s="5"/>
      <c r="W151" s="5"/>
      <c r="X151" s="5"/>
      <c r="Y151" s="5" t="s">
        <v>185</v>
      </c>
      <c r="Z151" s="10" t="s">
        <v>337</v>
      </c>
      <c r="AA151" s="5" t="s">
        <v>823</v>
      </c>
    </row>
    <row r="152" spans="1:27" x14ac:dyDescent="0.2">
      <c r="A152" s="5">
        <v>104014</v>
      </c>
      <c r="B152" s="5" t="s">
        <v>638</v>
      </c>
      <c r="C152" s="5">
        <v>173</v>
      </c>
      <c r="D152" s="5">
        <v>207</v>
      </c>
      <c r="E152" s="5">
        <v>55</v>
      </c>
      <c r="F152" s="5">
        <v>69</v>
      </c>
      <c r="G152" s="5">
        <v>45</v>
      </c>
      <c r="H152" s="5">
        <v>33</v>
      </c>
      <c r="I152" s="5">
        <v>33</v>
      </c>
      <c r="J152" s="5">
        <f>SUM(E152:I152)</f>
        <v>235</v>
      </c>
      <c r="K152" s="5">
        <v>310</v>
      </c>
      <c r="L152" s="5">
        <v>4</v>
      </c>
      <c r="M152" s="5" t="s">
        <v>751</v>
      </c>
      <c r="N152" s="5">
        <v>10</v>
      </c>
      <c r="O152" s="5">
        <v>17</v>
      </c>
      <c r="P152" s="5"/>
      <c r="Q152" s="5"/>
      <c r="R152" s="5">
        <f>MAX(25, INT(POWER(2.2,J152/45)))</f>
        <v>61</v>
      </c>
      <c r="S152" s="5">
        <v>0</v>
      </c>
      <c r="T152" s="5">
        <v>1</v>
      </c>
      <c r="U152" s="5" t="s">
        <v>298</v>
      </c>
      <c r="V152" s="5"/>
      <c r="W152" s="5"/>
      <c r="X152" s="5"/>
      <c r="Y152" s="5" t="s">
        <v>185</v>
      </c>
      <c r="Z152" s="10" t="s">
        <v>337</v>
      </c>
      <c r="AA152" s="5" t="s">
        <v>925</v>
      </c>
    </row>
    <row r="153" spans="1:27" x14ac:dyDescent="0.2">
      <c r="A153" s="5">
        <v>104015</v>
      </c>
      <c r="B153" s="5" t="s">
        <v>639</v>
      </c>
      <c r="C153" s="5">
        <v>170</v>
      </c>
      <c r="D153" s="5">
        <v>207</v>
      </c>
      <c r="E153" s="5">
        <v>52</v>
      </c>
      <c r="F153" s="5">
        <v>68</v>
      </c>
      <c r="G153" s="5">
        <v>45</v>
      </c>
      <c r="H153" s="5">
        <v>32</v>
      </c>
      <c r="I153" s="5">
        <v>49</v>
      </c>
      <c r="J153" s="5">
        <f>SUM(E153:I153)</f>
        <v>246</v>
      </c>
      <c r="K153" s="5">
        <v>310</v>
      </c>
      <c r="L153" s="5">
        <v>4</v>
      </c>
      <c r="M153" s="5" t="s">
        <v>750</v>
      </c>
      <c r="N153" s="5">
        <v>10</v>
      </c>
      <c r="O153" s="5">
        <v>17</v>
      </c>
      <c r="P153" s="5"/>
      <c r="Q153" s="5"/>
      <c r="R153" s="5">
        <f>MAX(25, INT(POWER(2.2,J153/45)))</f>
        <v>74</v>
      </c>
      <c r="S153" s="5">
        <v>0</v>
      </c>
      <c r="T153" s="5">
        <v>1</v>
      </c>
      <c r="U153" s="5" t="s">
        <v>298</v>
      </c>
      <c r="V153" s="5"/>
      <c r="W153" s="5"/>
      <c r="X153" s="5"/>
      <c r="Y153" s="5" t="s">
        <v>185</v>
      </c>
      <c r="Z153" s="10" t="s">
        <v>337</v>
      </c>
      <c r="AA153" s="5" t="s">
        <v>926</v>
      </c>
    </row>
    <row r="154" spans="1:27" x14ac:dyDescent="0.2">
      <c r="A154" s="5">
        <v>104016</v>
      </c>
      <c r="B154" s="5" t="s">
        <v>929</v>
      </c>
      <c r="C154" s="5">
        <v>171</v>
      </c>
      <c r="D154" s="5">
        <v>231</v>
      </c>
      <c r="E154" s="5">
        <v>70</v>
      </c>
      <c r="F154" s="5">
        <v>67</v>
      </c>
      <c r="G154" s="5">
        <v>71</v>
      </c>
      <c r="H154" s="5">
        <v>73</v>
      </c>
      <c r="I154" s="5">
        <v>71</v>
      </c>
      <c r="J154" s="5">
        <f>SUM(E154:I154)</f>
        <v>352</v>
      </c>
      <c r="K154" s="5">
        <v>310</v>
      </c>
      <c r="L154" s="5">
        <v>4</v>
      </c>
      <c r="M154" s="5" t="s">
        <v>753</v>
      </c>
      <c r="N154" s="5">
        <v>10</v>
      </c>
      <c r="O154" s="5">
        <v>17</v>
      </c>
      <c r="P154" s="5"/>
      <c r="Q154" s="5"/>
      <c r="R154" s="5">
        <f>MAX(25, INT(POWER(2.2,J154/45)))</f>
        <v>476</v>
      </c>
      <c r="S154" s="5">
        <v>0</v>
      </c>
      <c r="T154" s="5">
        <v>1</v>
      </c>
      <c r="U154" s="5" t="s">
        <v>298</v>
      </c>
      <c r="V154" s="5"/>
      <c r="W154" s="5"/>
      <c r="X154" s="5"/>
      <c r="Y154" s="5" t="s">
        <v>185</v>
      </c>
      <c r="Z154" s="10" t="s">
        <v>337</v>
      </c>
      <c r="AA154" s="5" t="s">
        <v>930</v>
      </c>
    </row>
    <row r="155" spans="1:27" x14ac:dyDescent="0.2">
      <c r="A155" s="5">
        <v>104017</v>
      </c>
      <c r="B155" s="5" t="s">
        <v>640</v>
      </c>
      <c r="C155" s="5">
        <v>176</v>
      </c>
      <c r="D155" s="5">
        <v>207</v>
      </c>
      <c r="E155" s="5">
        <v>58</v>
      </c>
      <c r="F155" s="5">
        <v>66</v>
      </c>
      <c r="G155" s="5">
        <v>39</v>
      </c>
      <c r="H155" s="5">
        <v>35</v>
      </c>
      <c r="I155" s="5">
        <v>66</v>
      </c>
      <c r="J155" s="5">
        <f>SUM(E155:I155)</f>
        <v>264</v>
      </c>
      <c r="K155" s="5">
        <v>310</v>
      </c>
      <c r="L155" s="5">
        <v>4</v>
      </c>
      <c r="M155" s="5" t="s">
        <v>751</v>
      </c>
      <c r="N155" s="5">
        <v>10</v>
      </c>
      <c r="O155" s="5">
        <v>17</v>
      </c>
      <c r="P155" s="5"/>
      <c r="Q155" s="5"/>
      <c r="R155" s="5">
        <f>MAX(25, INT(POWER(2.2,J155/45)))</f>
        <v>102</v>
      </c>
      <c r="S155" s="5">
        <v>0</v>
      </c>
      <c r="T155" s="5">
        <v>1</v>
      </c>
      <c r="U155" s="5" t="s">
        <v>298</v>
      </c>
      <c r="V155" s="5"/>
      <c r="W155" s="5"/>
      <c r="X155" s="5"/>
      <c r="Y155" s="5" t="s">
        <v>185</v>
      </c>
      <c r="Z155" s="10" t="s">
        <v>337</v>
      </c>
      <c r="AA155" s="5" t="s">
        <v>842</v>
      </c>
    </row>
    <row r="156" spans="1:27" x14ac:dyDescent="0.2">
      <c r="A156" s="5">
        <v>104018</v>
      </c>
      <c r="B156" s="5" t="s">
        <v>641</v>
      </c>
      <c r="C156" s="5">
        <v>173</v>
      </c>
      <c r="D156" s="5">
        <v>205</v>
      </c>
      <c r="E156" s="5">
        <v>57</v>
      </c>
      <c r="F156" s="5">
        <v>66</v>
      </c>
      <c r="G156" s="5">
        <v>28</v>
      </c>
      <c r="H156" s="5">
        <v>33</v>
      </c>
      <c r="I156" s="5">
        <v>56</v>
      </c>
      <c r="J156" s="5">
        <f>SUM(E156:I156)</f>
        <v>240</v>
      </c>
      <c r="K156" s="5">
        <v>310</v>
      </c>
      <c r="L156" s="5">
        <v>4</v>
      </c>
      <c r="M156" s="5" t="s">
        <v>752</v>
      </c>
      <c r="N156" s="5">
        <v>10</v>
      </c>
      <c r="O156" s="5">
        <v>17</v>
      </c>
      <c r="P156" s="5"/>
      <c r="Q156" s="5"/>
      <c r="R156" s="5">
        <f>MAX(25, INT(POWER(2.2,J156/45)))</f>
        <v>67</v>
      </c>
      <c r="S156" s="5">
        <v>0</v>
      </c>
      <c r="T156" s="5">
        <v>1</v>
      </c>
      <c r="U156" s="5" t="s">
        <v>298</v>
      </c>
      <c r="V156" s="5"/>
      <c r="W156" s="5"/>
      <c r="X156" s="5"/>
      <c r="Y156" s="5" t="s">
        <v>185</v>
      </c>
      <c r="Z156" s="10" t="s">
        <v>337</v>
      </c>
      <c r="AA156" s="5" t="s">
        <v>843</v>
      </c>
    </row>
    <row r="157" spans="1:27" x14ac:dyDescent="0.2">
      <c r="A157" s="5">
        <v>104019</v>
      </c>
      <c r="B157" s="5" t="s">
        <v>642</v>
      </c>
      <c r="C157" s="5">
        <v>175</v>
      </c>
      <c r="D157" s="5">
        <v>201</v>
      </c>
      <c r="E157" s="5">
        <v>74</v>
      </c>
      <c r="F157" s="5">
        <v>65</v>
      </c>
      <c r="G157" s="5">
        <v>62</v>
      </c>
      <c r="H157" s="5">
        <v>50</v>
      </c>
      <c r="I157" s="5">
        <v>62</v>
      </c>
      <c r="J157" s="5">
        <f>SUM(E157:I157)</f>
        <v>313</v>
      </c>
      <c r="K157" s="5">
        <v>310</v>
      </c>
      <c r="L157" s="5">
        <v>4</v>
      </c>
      <c r="M157" s="5" t="s">
        <v>752</v>
      </c>
      <c r="N157" s="5">
        <v>10</v>
      </c>
      <c r="O157" s="5">
        <v>17</v>
      </c>
      <c r="P157" s="5"/>
      <c r="Q157" s="5"/>
      <c r="R157" s="5">
        <f>MAX(25, INT(POWER(2.2,J157/45)))</f>
        <v>240</v>
      </c>
      <c r="S157" s="5">
        <v>0</v>
      </c>
      <c r="T157" s="5">
        <v>1</v>
      </c>
      <c r="U157" s="5" t="s">
        <v>298</v>
      </c>
      <c r="V157" s="5"/>
      <c r="W157" s="5"/>
      <c r="X157" s="5"/>
      <c r="Y157" s="5" t="s">
        <v>185</v>
      </c>
      <c r="Z157" s="10" t="s">
        <v>337</v>
      </c>
      <c r="AA157" s="5" t="s">
        <v>859</v>
      </c>
    </row>
    <row r="158" spans="1:27" x14ac:dyDescent="0.2">
      <c r="A158" s="5">
        <v>104020</v>
      </c>
      <c r="B158" s="5" t="s">
        <v>643</v>
      </c>
      <c r="C158" s="5">
        <v>169</v>
      </c>
      <c r="D158" s="5">
        <v>215</v>
      </c>
      <c r="E158" s="5">
        <v>64</v>
      </c>
      <c r="F158" s="5">
        <v>64</v>
      </c>
      <c r="G158" s="5">
        <v>70</v>
      </c>
      <c r="H158" s="5">
        <v>75</v>
      </c>
      <c r="I158" s="5">
        <v>72</v>
      </c>
      <c r="J158" s="5">
        <f>SUM(E158:I158)</f>
        <v>345</v>
      </c>
      <c r="K158" s="5">
        <v>310</v>
      </c>
      <c r="L158" s="5">
        <v>4</v>
      </c>
      <c r="M158" s="5" t="s">
        <v>752</v>
      </c>
      <c r="N158" s="5">
        <v>10</v>
      </c>
      <c r="O158" s="5">
        <v>17</v>
      </c>
      <c r="P158" s="5"/>
      <c r="Q158" s="5"/>
      <c r="R158" s="5">
        <f>MAX(25, INT(POWER(2.2,J158/45)))</f>
        <v>421</v>
      </c>
      <c r="S158" s="5">
        <v>0</v>
      </c>
      <c r="T158" s="5">
        <v>1</v>
      </c>
      <c r="U158" s="5" t="s">
        <v>298</v>
      </c>
      <c r="V158" s="5"/>
      <c r="W158" s="5"/>
      <c r="X158" s="5"/>
      <c r="Y158" s="5" t="s">
        <v>185</v>
      </c>
      <c r="Z158" s="10" t="s">
        <v>337</v>
      </c>
      <c r="AA158" s="5" t="s">
        <v>822</v>
      </c>
    </row>
    <row r="159" spans="1:27" x14ac:dyDescent="0.2">
      <c r="A159" s="5">
        <v>104021</v>
      </c>
      <c r="B159" s="5" t="s">
        <v>644</v>
      </c>
      <c r="C159" s="5">
        <v>163</v>
      </c>
      <c r="D159" s="5">
        <v>200</v>
      </c>
      <c r="E159" s="5">
        <v>70</v>
      </c>
      <c r="F159" s="5">
        <v>64</v>
      </c>
      <c r="G159" s="5">
        <v>28</v>
      </c>
      <c r="H159" s="5">
        <v>28</v>
      </c>
      <c r="I159" s="5">
        <v>35</v>
      </c>
      <c r="J159" s="5">
        <f>SUM(E159:I159)</f>
        <v>225</v>
      </c>
      <c r="K159" s="5">
        <v>310</v>
      </c>
      <c r="L159" s="5">
        <v>4</v>
      </c>
      <c r="M159" s="5" t="s">
        <v>752</v>
      </c>
      <c r="N159" s="5">
        <v>10</v>
      </c>
      <c r="O159" s="5">
        <v>17</v>
      </c>
      <c r="P159" s="5"/>
      <c r="Q159" s="5"/>
      <c r="R159" s="5">
        <f>MAX(25, INT(POWER(2.2,J159/45)))</f>
        <v>51</v>
      </c>
      <c r="S159" s="5">
        <v>0</v>
      </c>
      <c r="T159" s="5">
        <v>1</v>
      </c>
      <c r="U159" s="5" t="s">
        <v>298</v>
      </c>
      <c r="V159" s="5"/>
      <c r="W159" s="5"/>
      <c r="X159" s="5"/>
      <c r="Y159" s="5" t="s">
        <v>185</v>
      </c>
      <c r="Z159" s="10" t="s">
        <v>337</v>
      </c>
      <c r="AA159" s="5" t="s">
        <v>853</v>
      </c>
    </row>
    <row r="160" spans="1:27" x14ac:dyDescent="0.2">
      <c r="A160" s="5">
        <v>104022</v>
      </c>
      <c r="B160" s="5" t="s">
        <v>645</v>
      </c>
      <c r="C160" s="5">
        <v>172</v>
      </c>
      <c r="D160" s="5">
        <v>200</v>
      </c>
      <c r="E160" s="5">
        <v>58</v>
      </c>
      <c r="F160" s="5">
        <v>63</v>
      </c>
      <c r="G160" s="5">
        <v>29</v>
      </c>
      <c r="H160" s="5">
        <v>39</v>
      </c>
      <c r="I160" s="5">
        <v>44</v>
      </c>
      <c r="J160" s="5">
        <f>SUM(E160:I160)</f>
        <v>233</v>
      </c>
      <c r="K160" s="5">
        <v>310</v>
      </c>
      <c r="L160" s="5">
        <v>4</v>
      </c>
      <c r="M160" s="5" t="s">
        <v>753</v>
      </c>
      <c r="N160" s="5">
        <v>10</v>
      </c>
      <c r="O160" s="5">
        <v>17</v>
      </c>
      <c r="P160" s="5"/>
      <c r="Q160" s="5"/>
      <c r="R160" s="5">
        <f>MAX(25, INT(POWER(2.2,J160/45)))</f>
        <v>59</v>
      </c>
      <c r="S160" s="5">
        <v>0</v>
      </c>
      <c r="T160" s="5">
        <v>1</v>
      </c>
      <c r="U160" s="5" t="s">
        <v>298</v>
      </c>
      <c r="V160" s="5"/>
      <c r="W160" s="5"/>
      <c r="X160" s="5"/>
      <c r="Y160" s="5" t="s">
        <v>185</v>
      </c>
      <c r="Z160" s="10" t="s">
        <v>337</v>
      </c>
      <c r="AA160" s="5" t="s">
        <v>860</v>
      </c>
    </row>
    <row r="161" spans="1:28" x14ac:dyDescent="0.2">
      <c r="A161" s="5">
        <v>104023</v>
      </c>
      <c r="B161" s="5" t="s">
        <v>646</v>
      </c>
      <c r="C161" s="5">
        <v>165</v>
      </c>
      <c r="D161" s="5">
        <v>204</v>
      </c>
      <c r="E161" s="5">
        <v>84</v>
      </c>
      <c r="F161" s="5">
        <v>60</v>
      </c>
      <c r="G161" s="5">
        <v>83</v>
      </c>
      <c r="H161" s="5">
        <v>73</v>
      </c>
      <c r="I161" s="5">
        <v>70</v>
      </c>
      <c r="J161" s="5">
        <f>SUM(E161:I161)</f>
        <v>370</v>
      </c>
      <c r="K161" s="5">
        <v>310</v>
      </c>
      <c r="L161" s="5">
        <v>4</v>
      </c>
      <c r="M161" s="5" t="s">
        <v>753</v>
      </c>
      <c r="N161" s="5">
        <v>10</v>
      </c>
      <c r="O161" s="5">
        <v>17</v>
      </c>
      <c r="P161" s="5"/>
      <c r="Q161" s="5"/>
      <c r="R161" s="5">
        <f>MAX(25, INT(POWER(2.2,J161/45)))</f>
        <v>653</v>
      </c>
      <c r="S161" s="5">
        <v>0</v>
      </c>
      <c r="T161" s="5">
        <v>1</v>
      </c>
      <c r="U161" s="5" t="s">
        <v>298</v>
      </c>
      <c r="V161" s="5"/>
      <c r="W161" s="5"/>
      <c r="X161" s="5"/>
      <c r="Y161" s="5" t="s">
        <v>185</v>
      </c>
      <c r="Z161" s="10" t="s">
        <v>337</v>
      </c>
      <c r="AA161" s="5" t="s">
        <v>854</v>
      </c>
    </row>
    <row r="162" spans="1:28" x14ac:dyDescent="0.2">
      <c r="A162" s="5">
        <v>104024</v>
      </c>
      <c r="B162" s="5" t="s">
        <v>647</v>
      </c>
      <c r="C162" s="5">
        <v>170</v>
      </c>
      <c r="D162" s="5">
        <v>200</v>
      </c>
      <c r="E162" s="5">
        <v>51</v>
      </c>
      <c r="F162" s="5">
        <v>59</v>
      </c>
      <c r="G162" s="5">
        <v>51</v>
      </c>
      <c r="H162" s="5">
        <v>46</v>
      </c>
      <c r="I162" s="5">
        <v>52</v>
      </c>
      <c r="J162" s="5">
        <f>SUM(E162:I162)</f>
        <v>259</v>
      </c>
      <c r="K162" s="5">
        <v>310</v>
      </c>
      <c r="L162" s="5">
        <v>4</v>
      </c>
      <c r="M162" s="5" t="s">
        <v>750</v>
      </c>
      <c r="N162" s="5">
        <v>10</v>
      </c>
      <c r="O162" s="5">
        <v>17</v>
      </c>
      <c r="P162" s="5"/>
      <c r="Q162" s="5"/>
      <c r="R162" s="5">
        <f>MAX(25, INT(POWER(2.2,J162/45)))</f>
        <v>93</v>
      </c>
      <c r="S162" s="5">
        <v>0</v>
      </c>
      <c r="T162" s="5">
        <v>1</v>
      </c>
      <c r="U162" s="5" t="s">
        <v>298</v>
      </c>
      <c r="V162" s="5"/>
      <c r="W162" s="5"/>
      <c r="X162" s="5"/>
      <c r="Y162" s="5" t="s">
        <v>185</v>
      </c>
      <c r="Z162" s="10" t="s">
        <v>337</v>
      </c>
      <c r="AA162" s="5" t="s">
        <v>931</v>
      </c>
    </row>
    <row r="163" spans="1:28" x14ac:dyDescent="0.2">
      <c r="A163" s="5">
        <v>104025</v>
      </c>
      <c r="B163" s="5" t="s">
        <v>932</v>
      </c>
      <c r="C163" s="5">
        <v>173</v>
      </c>
      <c r="D163" s="5">
        <v>206</v>
      </c>
      <c r="E163" s="5">
        <v>50</v>
      </c>
      <c r="F163" s="5">
        <v>59</v>
      </c>
      <c r="G163" s="5">
        <v>49</v>
      </c>
      <c r="H163" s="5">
        <v>41</v>
      </c>
      <c r="I163" s="5">
        <v>49</v>
      </c>
      <c r="J163" s="5">
        <f>SUM(E163:I163)</f>
        <v>248</v>
      </c>
      <c r="K163" s="5">
        <v>310</v>
      </c>
      <c r="L163" s="5">
        <v>4</v>
      </c>
      <c r="M163" s="5" t="s">
        <v>752</v>
      </c>
      <c r="N163" s="5">
        <v>10</v>
      </c>
      <c r="O163" s="5">
        <v>17</v>
      </c>
      <c r="P163" s="5"/>
      <c r="Q163" s="5"/>
      <c r="R163" s="5">
        <f>MAX(25, INT(POWER(2.2,J163/45)))</f>
        <v>77</v>
      </c>
      <c r="S163" s="5">
        <v>0</v>
      </c>
      <c r="T163" s="5">
        <v>1</v>
      </c>
      <c r="U163" s="5" t="s">
        <v>298</v>
      </c>
      <c r="V163" s="5"/>
      <c r="W163" s="5"/>
      <c r="X163" s="5"/>
      <c r="Y163" s="5" t="s">
        <v>185</v>
      </c>
      <c r="Z163" s="10" t="s">
        <v>337</v>
      </c>
      <c r="AA163" s="5" t="s">
        <v>933</v>
      </c>
    </row>
    <row r="164" spans="1:28" x14ac:dyDescent="0.2">
      <c r="A164" s="5">
        <v>104026</v>
      </c>
      <c r="B164" s="5" t="s">
        <v>648</v>
      </c>
      <c r="C164" s="5">
        <v>174</v>
      </c>
      <c r="D164" s="5">
        <v>202</v>
      </c>
      <c r="E164" s="5">
        <v>71</v>
      </c>
      <c r="F164" s="5">
        <v>58</v>
      </c>
      <c r="G164" s="5">
        <v>57</v>
      </c>
      <c r="H164" s="5">
        <v>51</v>
      </c>
      <c r="I164" s="5">
        <v>55</v>
      </c>
      <c r="J164" s="5">
        <f>SUM(E164:I164)</f>
        <v>292</v>
      </c>
      <c r="K164" s="5">
        <v>310</v>
      </c>
      <c r="L164" s="5">
        <v>4</v>
      </c>
      <c r="M164" s="5" t="s">
        <v>750</v>
      </c>
      <c r="N164" s="5">
        <v>10</v>
      </c>
      <c r="O164" s="5">
        <v>17</v>
      </c>
      <c r="P164" s="5"/>
      <c r="Q164" s="5"/>
      <c r="R164" s="5">
        <f>MAX(25, INT(POWER(2.2,J164/45)))</f>
        <v>166</v>
      </c>
      <c r="S164" s="5">
        <v>0</v>
      </c>
      <c r="T164" s="5">
        <v>1</v>
      </c>
      <c r="U164" s="5" t="s">
        <v>298</v>
      </c>
      <c r="V164" s="5"/>
      <c r="W164" s="5"/>
      <c r="X164" s="5"/>
      <c r="Y164" s="5" t="s">
        <v>185</v>
      </c>
      <c r="Z164" s="10" t="s">
        <v>337</v>
      </c>
      <c r="AA164" s="5" t="s">
        <v>862</v>
      </c>
    </row>
    <row r="165" spans="1:28" x14ac:dyDescent="0.2">
      <c r="A165" s="5">
        <v>104027</v>
      </c>
      <c r="B165" s="5" t="s">
        <v>649</v>
      </c>
      <c r="C165" s="5">
        <v>170</v>
      </c>
      <c r="D165" s="5">
        <v>206</v>
      </c>
      <c r="E165" s="5">
        <v>72</v>
      </c>
      <c r="F165" s="5">
        <v>54</v>
      </c>
      <c r="G165" s="5">
        <v>47</v>
      </c>
      <c r="H165" s="5">
        <v>57</v>
      </c>
      <c r="I165" s="5">
        <v>64</v>
      </c>
      <c r="J165" s="5">
        <f>SUM(E165:I165)</f>
        <v>294</v>
      </c>
      <c r="K165" s="5">
        <v>310</v>
      </c>
      <c r="L165" s="5">
        <v>4</v>
      </c>
      <c r="M165" s="5" t="s">
        <v>752</v>
      </c>
      <c r="N165" s="5">
        <v>10</v>
      </c>
      <c r="O165" s="5">
        <v>17</v>
      </c>
      <c r="P165" s="5"/>
      <c r="Q165" s="5"/>
      <c r="R165" s="5">
        <f>MAX(25, INT(POWER(2.2,J165/45)))</f>
        <v>172</v>
      </c>
      <c r="S165" s="5">
        <v>0</v>
      </c>
      <c r="T165" s="5">
        <v>1</v>
      </c>
      <c r="U165" s="5" t="s">
        <v>298</v>
      </c>
      <c r="V165" s="5"/>
      <c r="W165" s="5"/>
      <c r="X165" s="5"/>
      <c r="Y165" s="5" t="s">
        <v>185</v>
      </c>
      <c r="Z165" s="10" t="s">
        <v>337</v>
      </c>
      <c r="AA165" s="5" t="s">
        <v>826</v>
      </c>
    </row>
    <row r="166" spans="1:28" x14ac:dyDescent="0.2">
      <c r="A166" s="5">
        <v>104028</v>
      </c>
      <c r="B166" s="5" t="s">
        <v>650</v>
      </c>
      <c r="C166" s="5">
        <v>170</v>
      </c>
      <c r="D166" s="5">
        <v>207</v>
      </c>
      <c r="E166" s="5">
        <v>62</v>
      </c>
      <c r="F166" s="5">
        <v>47</v>
      </c>
      <c r="G166" s="5">
        <v>59</v>
      </c>
      <c r="H166" s="5">
        <v>61</v>
      </c>
      <c r="I166" s="5">
        <v>60</v>
      </c>
      <c r="J166" s="5">
        <f>SUM(E166:I166)</f>
        <v>289</v>
      </c>
      <c r="K166" s="5">
        <v>310</v>
      </c>
      <c r="L166" s="5">
        <v>4</v>
      </c>
      <c r="M166" s="5" t="s">
        <v>753</v>
      </c>
      <c r="N166" s="5">
        <v>10</v>
      </c>
      <c r="O166" s="5">
        <v>17</v>
      </c>
      <c r="P166" s="5"/>
      <c r="Q166" s="5"/>
      <c r="R166" s="5">
        <f>MAX(25, INT(POWER(2.2,J166/45)))</f>
        <v>158</v>
      </c>
      <c r="S166" s="5">
        <v>0</v>
      </c>
      <c r="T166" s="5">
        <v>1</v>
      </c>
      <c r="U166" s="5" t="s">
        <v>298</v>
      </c>
      <c r="V166" s="5"/>
      <c r="W166" s="5"/>
      <c r="X166" s="5"/>
      <c r="Y166" s="5" t="s">
        <v>185</v>
      </c>
      <c r="Z166" s="10" t="s">
        <v>337</v>
      </c>
      <c r="AA166" s="5" t="s">
        <v>844</v>
      </c>
      <c r="AB166" t="e">
        <f>COUNTIF([1]Sheet1!#REF!, "*"&amp; A166&amp;"*")</f>
        <v>#REF!</v>
      </c>
    </row>
    <row r="167" spans="1:28" x14ac:dyDescent="0.2">
      <c r="A167" s="5">
        <v>104029</v>
      </c>
      <c r="B167" s="5" t="s">
        <v>651</v>
      </c>
      <c r="C167" s="5">
        <v>178</v>
      </c>
      <c r="D167" s="5">
        <v>235</v>
      </c>
      <c r="E167" s="5">
        <v>44</v>
      </c>
      <c r="F167" s="5">
        <v>44</v>
      </c>
      <c r="G167" s="5">
        <v>65</v>
      </c>
      <c r="H167" s="5">
        <v>73</v>
      </c>
      <c r="I167" s="5">
        <v>70</v>
      </c>
      <c r="J167" s="5">
        <f>SUM(E167:I167)</f>
        <v>296</v>
      </c>
      <c r="K167" s="5">
        <v>310</v>
      </c>
      <c r="L167" s="5">
        <v>4</v>
      </c>
      <c r="M167" s="5" t="s">
        <v>751</v>
      </c>
      <c r="N167" s="5">
        <v>10</v>
      </c>
      <c r="O167" s="5">
        <v>17</v>
      </c>
      <c r="P167" s="5"/>
      <c r="Q167" s="5"/>
      <c r="R167" s="5">
        <f>MAX(25, INT(POWER(2.2,J167/45)))</f>
        <v>178</v>
      </c>
      <c r="S167" s="5">
        <v>0</v>
      </c>
      <c r="T167" s="5">
        <v>1</v>
      </c>
      <c r="U167" s="5" t="s">
        <v>298</v>
      </c>
      <c r="V167" s="5"/>
      <c r="W167" s="5"/>
      <c r="X167" s="5"/>
      <c r="Y167" s="5" t="s">
        <v>185</v>
      </c>
      <c r="Z167" s="10" t="s">
        <v>337</v>
      </c>
      <c r="AA167" s="5" t="s">
        <v>864</v>
      </c>
      <c r="AB167" t="e">
        <f>COUNTIF([1]Sheet1!#REF!, "*"&amp; A167&amp;"*")</f>
        <v>#REF!</v>
      </c>
    </row>
    <row r="168" spans="1:28" x14ac:dyDescent="0.2">
      <c r="A168" s="5">
        <v>104030</v>
      </c>
      <c r="B168" s="5" t="s">
        <v>652</v>
      </c>
      <c r="C168" s="5">
        <v>175</v>
      </c>
      <c r="D168" s="5">
        <v>204</v>
      </c>
      <c r="E168" s="5">
        <v>69</v>
      </c>
      <c r="F168" s="5">
        <v>43</v>
      </c>
      <c r="G168" s="5">
        <v>76</v>
      </c>
      <c r="H168" s="5">
        <v>75</v>
      </c>
      <c r="I168" s="5">
        <v>68</v>
      </c>
      <c r="J168" s="5">
        <f>SUM(E168:I168)</f>
        <v>331</v>
      </c>
      <c r="K168" s="5">
        <v>310</v>
      </c>
      <c r="L168" s="5">
        <v>4</v>
      </c>
      <c r="M168" s="5" t="s">
        <v>750</v>
      </c>
      <c r="N168" s="5">
        <v>10</v>
      </c>
      <c r="O168" s="5">
        <v>17</v>
      </c>
      <c r="P168" s="5"/>
      <c r="Q168" s="5"/>
      <c r="R168" s="5">
        <f>MAX(25, INT(POWER(2.2,J168/45)))</f>
        <v>330</v>
      </c>
      <c r="S168" s="5">
        <v>0</v>
      </c>
      <c r="T168" s="5">
        <v>1</v>
      </c>
      <c r="U168" s="5" t="s">
        <v>298</v>
      </c>
      <c r="V168" s="5"/>
      <c r="W168" s="5"/>
      <c r="X168" s="5"/>
      <c r="Y168" s="5" t="s">
        <v>185</v>
      </c>
      <c r="Z168" s="10" t="s">
        <v>337</v>
      </c>
      <c r="AA168" s="5" t="s">
        <v>861</v>
      </c>
      <c r="AB168" t="e">
        <f>COUNTIF([1]Sheet1!#REF!, "*"&amp; A168&amp;"*")</f>
        <v>#REF!</v>
      </c>
    </row>
    <row r="169" spans="1:28" x14ac:dyDescent="0.2">
      <c r="A169" s="5">
        <v>104031</v>
      </c>
      <c r="B169" s="5" t="s">
        <v>653</v>
      </c>
      <c r="C169" s="5">
        <v>174</v>
      </c>
      <c r="D169" s="5">
        <v>263</v>
      </c>
      <c r="E169" s="5">
        <v>54</v>
      </c>
      <c r="F169" s="5">
        <v>40</v>
      </c>
      <c r="G169" s="5">
        <v>67</v>
      </c>
      <c r="H169" s="5">
        <v>75</v>
      </c>
      <c r="I169" s="5">
        <v>70</v>
      </c>
      <c r="J169" s="5">
        <f>SUM(E169:I169)</f>
        <v>306</v>
      </c>
      <c r="K169" s="5">
        <v>310</v>
      </c>
      <c r="L169" s="5">
        <v>4</v>
      </c>
      <c r="M169" s="5" t="s">
        <v>751</v>
      </c>
      <c r="N169" s="5">
        <v>10</v>
      </c>
      <c r="O169" s="5">
        <v>17</v>
      </c>
      <c r="P169" s="5"/>
      <c r="Q169" s="5"/>
      <c r="R169" s="5">
        <f>MAX(25, INT(POWER(2.2,J169/45)))</f>
        <v>213</v>
      </c>
      <c r="S169" s="5">
        <v>0</v>
      </c>
      <c r="T169" s="5">
        <v>1</v>
      </c>
      <c r="U169" s="5" t="s">
        <v>298</v>
      </c>
      <c r="V169" s="5"/>
      <c r="W169" s="5"/>
      <c r="X169" s="5"/>
      <c r="Y169" s="5" t="s">
        <v>185</v>
      </c>
      <c r="Z169" s="10" t="s">
        <v>337</v>
      </c>
      <c r="AA169" s="5" t="s">
        <v>863</v>
      </c>
      <c r="AB169" t="e">
        <f>COUNTIF([1]Sheet1!#REF!, "*"&amp; A169&amp;"*")</f>
        <v>#REF!</v>
      </c>
    </row>
    <row r="170" spans="1:28" x14ac:dyDescent="0.2">
      <c r="A170" s="5">
        <v>104032</v>
      </c>
      <c r="B170" s="5" t="s">
        <v>654</v>
      </c>
      <c r="C170" s="5">
        <v>172</v>
      </c>
      <c r="D170" s="5">
        <v>214</v>
      </c>
      <c r="E170" s="5">
        <v>19</v>
      </c>
      <c r="F170" s="5">
        <v>25</v>
      </c>
      <c r="G170" s="5">
        <v>77</v>
      </c>
      <c r="H170" s="5">
        <v>79</v>
      </c>
      <c r="I170" s="5">
        <v>64</v>
      </c>
      <c r="J170" s="5">
        <f>SUM(E170:I170)</f>
        <v>264</v>
      </c>
      <c r="K170" s="5">
        <v>310</v>
      </c>
      <c r="L170" s="5">
        <v>4</v>
      </c>
      <c r="M170" s="5" t="s">
        <v>753</v>
      </c>
      <c r="N170" s="5">
        <v>10</v>
      </c>
      <c r="O170" s="5">
        <v>17</v>
      </c>
      <c r="P170" s="5"/>
      <c r="Q170" s="5"/>
      <c r="R170" s="5">
        <f>MAX(25, INT(POWER(2.2,J170/45)))</f>
        <v>102</v>
      </c>
      <c r="S170" s="5">
        <v>0</v>
      </c>
      <c r="T170" s="5">
        <v>1</v>
      </c>
      <c r="U170" s="5" t="s">
        <v>298</v>
      </c>
      <c r="V170" s="5"/>
      <c r="W170" s="5"/>
      <c r="X170" s="5"/>
      <c r="Y170" s="5" t="s">
        <v>185</v>
      </c>
      <c r="Z170" s="10" t="s">
        <v>337</v>
      </c>
      <c r="AA170" s="5" t="s">
        <v>821</v>
      </c>
      <c r="AB170" t="e">
        <f>COUNTIF([1]Sheet1!#REF!, "*"&amp; A170&amp;"*")</f>
        <v>#REF!</v>
      </c>
    </row>
    <row r="171" spans="1:28" x14ac:dyDescent="0.2">
      <c r="A171" s="5">
        <v>104033</v>
      </c>
      <c r="B171" s="5" t="s">
        <v>655</v>
      </c>
      <c r="C171" s="5">
        <v>171</v>
      </c>
      <c r="D171" s="5">
        <v>235</v>
      </c>
      <c r="E171" s="5">
        <v>37</v>
      </c>
      <c r="F171" s="5">
        <v>23</v>
      </c>
      <c r="G171" s="5">
        <v>75</v>
      </c>
      <c r="H171" s="5">
        <v>77</v>
      </c>
      <c r="I171" s="5">
        <v>69</v>
      </c>
      <c r="J171" s="5">
        <f>SUM(E171:I171)</f>
        <v>281</v>
      </c>
      <c r="K171" s="5">
        <v>310</v>
      </c>
      <c r="L171" s="5">
        <v>4</v>
      </c>
      <c r="M171" s="5" t="s">
        <v>751</v>
      </c>
      <c r="N171" s="5">
        <v>10</v>
      </c>
      <c r="O171" s="5">
        <v>17</v>
      </c>
      <c r="P171" s="5"/>
      <c r="Q171" s="5"/>
      <c r="R171" s="5">
        <f>MAX(25, INT(POWER(2.2,J171/45)))</f>
        <v>137</v>
      </c>
      <c r="S171" s="5">
        <v>0</v>
      </c>
      <c r="T171" s="5">
        <v>1</v>
      </c>
      <c r="U171" s="5" t="s">
        <v>298</v>
      </c>
      <c r="V171" s="5"/>
      <c r="W171" s="5"/>
      <c r="X171" s="5"/>
      <c r="Y171" s="5" t="s">
        <v>185</v>
      </c>
      <c r="Z171" s="10" t="s">
        <v>337</v>
      </c>
      <c r="AA171" s="5" t="s">
        <v>818</v>
      </c>
      <c r="AB171" t="e">
        <f>COUNTIF([1]Sheet1!#REF!, "*"&amp; A171&amp;"*")</f>
        <v>#REF!</v>
      </c>
    </row>
    <row r="172" spans="1:28" x14ac:dyDescent="0.2">
      <c r="A172" s="5">
        <v>104034</v>
      </c>
      <c r="B172" s="5" t="s">
        <v>656</v>
      </c>
      <c r="C172" s="5">
        <v>175</v>
      </c>
      <c r="D172" s="5">
        <v>202</v>
      </c>
      <c r="E172" s="5">
        <v>27</v>
      </c>
      <c r="F172" s="5">
        <v>21</v>
      </c>
      <c r="G172" s="5">
        <v>84</v>
      </c>
      <c r="H172" s="5">
        <v>72</v>
      </c>
      <c r="I172" s="5">
        <v>39</v>
      </c>
      <c r="J172" s="5">
        <f>SUM(E172:I172)</f>
        <v>243</v>
      </c>
      <c r="K172" s="5">
        <v>310</v>
      </c>
      <c r="L172" s="5">
        <v>4</v>
      </c>
      <c r="M172" s="5" t="s">
        <v>751</v>
      </c>
      <c r="N172" s="5">
        <v>10</v>
      </c>
      <c r="O172" s="5">
        <v>17</v>
      </c>
      <c r="P172" s="5"/>
      <c r="Q172" s="5"/>
      <c r="R172" s="5">
        <f>MAX(25, INT(POWER(2.2,J172/45)))</f>
        <v>70</v>
      </c>
      <c r="S172" s="5">
        <v>0</v>
      </c>
      <c r="T172" s="5">
        <v>1</v>
      </c>
      <c r="U172" s="5" t="s">
        <v>298</v>
      </c>
      <c r="V172" s="5"/>
      <c r="W172" s="5"/>
      <c r="X172" s="5"/>
      <c r="Y172" s="5" t="s">
        <v>185</v>
      </c>
      <c r="Z172" s="10" t="s">
        <v>337</v>
      </c>
      <c r="AA172" s="5" t="s">
        <v>819</v>
      </c>
      <c r="AB172" t="e">
        <f>COUNTIF([1]Sheet1!#REF!, "*"&amp; A172&amp;"*")</f>
        <v>#REF!</v>
      </c>
    </row>
    <row r="173" spans="1:28" x14ac:dyDescent="0.2">
      <c r="A173" s="5">
        <v>104035</v>
      </c>
      <c r="B173" s="5" t="s">
        <v>657</v>
      </c>
      <c r="C173" s="5">
        <v>160</v>
      </c>
      <c r="D173" s="5">
        <v>217</v>
      </c>
      <c r="E173" s="5">
        <v>10</v>
      </c>
      <c r="F173" s="5">
        <v>9</v>
      </c>
      <c r="G173" s="5">
        <v>74</v>
      </c>
      <c r="H173" s="5">
        <v>79</v>
      </c>
      <c r="I173" s="5">
        <v>72</v>
      </c>
      <c r="J173" s="5">
        <f>SUM(E173:I173)</f>
        <v>244</v>
      </c>
      <c r="K173" s="5">
        <v>310</v>
      </c>
      <c r="L173" s="5">
        <v>4</v>
      </c>
      <c r="M173" s="5" t="s">
        <v>753</v>
      </c>
      <c r="N173" s="5">
        <v>10</v>
      </c>
      <c r="O173" s="5">
        <v>17</v>
      </c>
      <c r="P173" s="5"/>
      <c r="Q173" s="5"/>
      <c r="R173" s="5">
        <f>MAX(25, INT(POWER(2.2,J173/45)))</f>
        <v>71</v>
      </c>
      <c r="S173" s="5">
        <v>0</v>
      </c>
      <c r="T173" s="5">
        <v>1</v>
      </c>
      <c r="U173" s="5" t="s">
        <v>298</v>
      </c>
      <c r="V173" s="5"/>
      <c r="W173" s="5"/>
      <c r="X173" s="5"/>
      <c r="Y173" s="5" t="s">
        <v>185</v>
      </c>
      <c r="Z173" s="10" t="s">
        <v>337</v>
      </c>
      <c r="AA173" s="5" t="s">
        <v>820</v>
      </c>
      <c r="AB173" t="e">
        <f>COUNTIF([1]Sheet1!#REF!, "*"&amp; A173&amp;"*")</f>
        <v>#REF!</v>
      </c>
    </row>
    <row r="174" spans="1:28" x14ac:dyDescent="0.2">
      <c r="A174" s="13">
        <v>100005</v>
      </c>
      <c r="B174" s="13" t="s">
        <v>144</v>
      </c>
      <c r="C174" s="13">
        <v>139</v>
      </c>
      <c r="D174" s="13">
        <v>192</v>
      </c>
      <c r="E174" s="5">
        <v>77</v>
      </c>
      <c r="F174" s="5">
        <v>87</v>
      </c>
      <c r="G174" s="5">
        <v>67</v>
      </c>
      <c r="H174" s="5">
        <v>18</v>
      </c>
      <c r="I174" s="5">
        <v>36</v>
      </c>
      <c r="J174" s="5">
        <f>SUM(E174:I174)</f>
        <v>285</v>
      </c>
      <c r="K174" s="5">
        <v>330</v>
      </c>
      <c r="L174" s="5">
        <v>5</v>
      </c>
      <c r="M174" s="5" t="s">
        <v>675</v>
      </c>
      <c r="N174" s="5">
        <v>10</v>
      </c>
      <c r="O174" s="5">
        <v>17</v>
      </c>
      <c r="P174" s="5"/>
      <c r="Q174" s="5"/>
      <c r="R174" s="5">
        <v>0</v>
      </c>
      <c r="S174" s="5">
        <v>0</v>
      </c>
      <c r="T174" s="5">
        <v>1</v>
      </c>
      <c r="U174" s="5" t="s">
        <v>284</v>
      </c>
      <c r="V174" s="5"/>
      <c r="W174" s="5"/>
      <c r="X174" s="5"/>
      <c r="Y174" s="5" t="s">
        <v>184</v>
      </c>
      <c r="Z174" s="10" t="s">
        <v>71</v>
      </c>
      <c r="AA174" s="5" t="s">
        <v>406</v>
      </c>
      <c r="AB174" t="e">
        <f>COUNTIF([1]Sheet1!#REF!, "*"&amp; A174&amp;"*")</f>
        <v>#REF!</v>
      </c>
    </row>
    <row r="175" spans="1:28" x14ac:dyDescent="0.2">
      <c r="A175" s="5">
        <v>105001</v>
      </c>
      <c r="B175" s="5" t="s">
        <v>22</v>
      </c>
      <c r="C175" s="5">
        <v>169</v>
      </c>
      <c r="D175" s="5">
        <v>222</v>
      </c>
      <c r="E175" s="5">
        <v>95</v>
      </c>
      <c r="F175" s="5">
        <v>92</v>
      </c>
      <c r="G175" s="5">
        <v>78</v>
      </c>
      <c r="H175" s="5">
        <v>56</v>
      </c>
      <c r="I175" s="5">
        <v>76</v>
      </c>
      <c r="J175" s="5">
        <f>SUM(E175:I175)</f>
        <v>397</v>
      </c>
      <c r="K175" s="5">
        <v>295</v>
      </c>
      <c r="L175" s="5">
        <v>5</v>
      </c>
      <c r="M175" s="5" t="s">
        <v>676</v>
      </c>
      <c r="N175" s="5">
        <v>10</v>
      </c>
      <c r="O175" s="5">
        <v>17</v>
      </c>
      <c r="P175" s="5"/>
      <c r="Q175" s="5"/>
      <c r="R175" s="5">
        <f>MAX(25, INT(POWER(2.2,J175/45)))</f>
        <v>1049</v>
      </c>
      <c r="S175" s="5">
        <v>0</v>
      </c>
      <c r="T175" s="5">
        <v>1</v>
      </c>
      <c r="U175" s="5" t="s">
        <v>298</v>
      </c>
      <c r="V175" s="5"/>
      <c r="W175" s="5" t="s">
        <v>346</v>
      </c>
      <c r="X175" s="5"/>
      <c r="Y175" s="5" t="s">
        <v>185</v>
      </c>
      <c r="Z175" s="10" t="s">
        <v>71</v>
      </c>
      <c r="AA175" s="5" t="s">
        <v>451</v>
      </c>
      <c r="AB175" t="e">
        <f>COUNTIF([1]Sheet1!#REF!, "*"&amp; A175&amp;"*")</f>
        <v>#REF!</v>
      </c>
    </row>
    <row r="176" spans="1:28" x14ac:dyDescent="0.2">
      <c r="A176" s="5">
        <v>105002</v>
      </c>
      <c r="B176" s="5" t="s">
        <v>95</v>
      </c>
      <c r="C176" s="5">
        <v>156</v>
      </c>
      <c r="D176" s="5">
        <v>199</v>
      </c>
      <c r="E176" s="5">
        <v>91</v>
      </c>
      <c r="F176" s="5">
        <v>100</v>
      </c>
      <c r="G176" s="5">
        <v>26</v>
      </c>
      <c r="H176" s="5">
        <v>13</v>
      </c>
      <c r="I176" s="5">
        <v>40</v>
      </c>
      <c r="J176" s="5">
        <f>SUM(E176:I176)</f>
        <v>270</v>
      </c>
      <c r="K176" s="5">
        <v>310</v>
      </c>
      <c r="L176" s="5">
        <v>5</v>
      </c>
      <c r="M176" s="5" t="s">
        <v>675</v>
      </c>
      <c r="N176" s="5">
        <v>10</v>
      </c>
      <c r="O176" s="5">
        <v>17</v>
      </c>
      <c r="P176" s="5"/>
      <c r="Q176" s="5"/>
      <c r="R176" s="5">
        <f>MAX(25, INT(POWER(2.2,J176/45)))</f>
        <v>113</v>
      </c>
      <c r="S176" s="5">
        <v>0</v>
      </c>
      <c r="T176" s="5">
        <v>1</v>
      </c>
      <c r="U176" s="5" t="s">
        <v>286</v>
      </c>
      <c r="V176" s="5"/>
      <c r="W176" s="5" t="s">
        <v>349</v>
      </c>
      <c r="X176" s="5" t="s">
        <v>385</v>
      </c>
      <c r="Y176" s="5" t="s">
        <v>189</v>
      </c>
      <c r="Z176" s="10" t="s">
        <v>339</v>
      </c>
      <c r="AA176" s="5" t="s">
        <v>528</v>
      </c>
      <c r="AB176" t="e">
        <f>COUNTIF([1]Sheet1!#REF!, "*"&amp; A176&amp;"*")</f>
        <v>#REF!</v>
      </c>
    </row>
    <row r="177" spans="1:28" x14ac:dyDescent="0.2">
      <c r="A177" s="5">
        <v>105003</v>
      </c>
      <c r="B177" s="5" t="s">
        <v>233</v>
      </c>
      <c r="C177" s="5">
        <v>154</v>
      </c>
      <c r="D177" s="5">
        <v>191</v>
      </c>
      <c r="E177" s="5">
        <v>82</v>
      </c>
      <c r="F177" s="5">
        <v>90</v>
      </c>
      <c r="G177" s="5">
        <v>56</v>
      </c>
      <c r="H177" s="5">
        <v>40</v>
      </c>
      <c r="I177" s="5">
        <v>57</v>
      </c>
      <c r="J177" s="5">
        <f>SUM(E177:I177)</f>
        <v>325</v>
      </c>
      <c r="K177" s="5">
        <v>310</v>
      </c>
      <c r="L177" s="5">
        <v>5</v>
      </c>
      <c r="M177" s="5" t="s">
        <v>675</v>
      </c>
      <c r="N177" s="5">
        <v>10</v>
      </c>
      <c r="O177" s="5">
        <v>17</v>
      </c>
      <c r="P177" s="5"/>
      <c r="Q177" s="5"/>
      <c r="R177" s="5">
        <f>MAX(25, INT(POWER(2.2,J177/45)))</f>
        <v>297</v>
      </c>
      <c r="S177" s="5">
        <v>0</v>
      </c>
      <c r="T177" s="5">
        <v>1</v>
      </c>
      <c r="U177" s="5" t="s">
        <v>286</v>
      </c>
      <c r="V177" s="5"/>
      <c r="W177" s="5" t="s">
        <v>391</v>
      </c>
      <c r="X177" s="5"/>
      <c r="Y177" s="5" t="s">
        <v>189</v>
      </c>
      <c r="Z177" s="10" t="s">
        <v>71</v>
      </c>
      <c r="AA177" s="5" t="s">
        <v>529</v>
      </c>
      <c r="AB177" t="e">
        <f>COUNTIF([1]Sheet1!#REF!, "*"&amp; A177&amp;"*")</f>
        <v>#REF!</v>
      </c>
    </row>
    <row r="178" spans="1:28" x14ac:dyDescent="0.2">
      <c r="A178" s="5">
        <v>105004</v>
      </c>
      <c r="B178" s="5" t="s">
        <v>36</v>
      </c>
      <c r="C178" s="5">
        <v>147</v>
      </c>
      <c r="D178" s="5">
        <v>223</v>
      </c>
      <c r="E178" s="5">
        <v>86</v>
      </c>
      <c r="F178" s="5">
        <v>50</v>
      </c>
      <c r="G178" s="5">
        <v>97</v>
      </c>
      <c r="H178" s="5">
        <v>85</v>
      </c>
      <c r="I178" s="5">
        <v>57</v>
      </c>
      <c r="J178" s="5">
        <f>SUM(E178:I178)</f>
        <v>375</v>
      </c>
      <c r="K178" s="5">
        <v>260</v>
      </c>
      <c r="L178" s="5">
        <v>5</v>
      </c>
      <c r="M178" s="5" t="s">
        <v>677</v>
      </c>
      <c r="N178" s="5">
        <v>10</v>
      </c>
      <c r="O178" s="5">
        <v>17</v>
      </c>
      <c r="P178" s="5">
        <v>15</v>
      </c>
      <c r="Q178" s="5"/>
      <c r="R178" s="5">
        <f>MAX(25, INT(POWER(2.2,J178/45)))</f>
        <v>713</v>
      </c>
      <c r="S178" s="5">
        <v>0</v>
      </c>
      <c r="T178" s="5">
        <v>3</v>
      </c>
      <c r="U178" s="5" t="s">
        <v>291</v>
      </c>
      <c r="V178" s="5"/>
      <c r="W178" s="5" t="s">
        <v>303</v>
      </c>
      <c r="X178" s="5"/>
      <c r="Y178" s="5" t="s">
        <v>188</v>
      </c>
      <c r="Z178" s="10" t="s">
        <v>70</v>
      </c>
      <c r="AA178" s="5" t="s">
        <v>530</v>
      </c>
      <c r="AB178" t="e">
        <f>COUNTIF([1]Sheet1!#REF!, "*"&amp; A178&amp;"*")</f>
        <v>#REF!</v>
      </c>
    </row>
    <row r="179" spans="1:28" x14ac:dyDescent="0.2">
      <c r="A179" s="5">
        <v>105005</v>
      </c>
      <c r="B179" s="5" t="s">
        <v>108</v>
      </c>
      <c r="C179" s="5">
        <v>169</v>
      </c>
      <c r="D179" s="5">
        <v>195</v>
      </c>
      <c r="E179" s="5">
        <v>27</v>
      </c>
      <c r="F179" s="5">
        <v>65</v>
      </c>
      <c r="G179" s="5">
        <v>81</v>
      </c>
      <c r="H179" s="5">
        <v>70</v>
      </c>
      <c r="I179" s="5">
        <v>95</v>
      </c>
      <c r="J179" s="5">
        <f>SUM(E179:I179)</f>
        <v>338</v>
      </c>
      <c r="K179" s="5">
        <v>280</v>
      </c>
      <c r="L179" s="5">
        <v>5</v>
      </c>
      <c r="M179" s="5" t="s">
        <v>675</v>
      </c>
      <c r="N179" s="5">
        <v>10</v>
      </c>
      <c r="O179" s="5">
        <v>17</v>
      </c>
      <c r="P179" s="5">
        <v>15</v>
      </c>
      <c r="Q179" s="5"/>
      <c r="R179" s="5">
        <f>MAX(25, INT(POWER(2.2,J179/45)))</f>
        <v>373</v>
      </c>
      <c r="S179" s="5">
        <v>0</v>
      </c>
      <c r="T179" s="5">
        <v>3</v>
      </c>
      <c r="U179" s="5" t="s">
        <v>295</v>
      </c>
      <c r="V179" s="5"/>
      <c r="W179" s="5" t="s">
        <v>364</v>
      </c>
      <c r="X179" s="5"/>
      <c r="Y179" s="5" t="s">
        <v>194</v>
      </c>
      <c r="Z179" s="10" t="s">
        <v>70</v>
      </c>
      <c r="AA179" s="5" t="s">
        <v>531</v>
      </c>
      <c r="AB179" t="e">
        <f>COUNTIF([1]Sheet1!#REF!, "*"&amp; A179&amp;"*")</f>
        <v>#REF!</v>
      </c>
    </row>
    <row r="180" spans="1:28" x14ac:dyDescent="0.2">
      <c r="A180" s="5">
        <v>105006</v>
      </c>
      <c r="B180" s="5" t="s">
        <v>142</v>
      </c>
      <c r="C180" s="5">
        <v>165</v>
      </c>
      <c r="D180" s="5">
        <v>227</v>
      </c>
      <c r="E180" s="5">
        <v>78</v>
      </c>
      <c r="F180" s="5">
        <v>75</v>
      </c>
      <c r="G180" s="5">
        <v>53</v>
      </c>
      <c r="H180" s="5">
        <v>70</v>
      </c>
      <c r="I180" s="5">
        <v>75</v>
      </c>
      <c r="J180" s="5">
        <f>SUM(E180:I180)</f>
        <v>351</v>
      </c>
      <c r="K180" s="5">
        <v>330</v>
      </c>
      <c r="L180" s="5">
        <v>5</v>
      </c>
      <c r="M180" s="5" t="s">
        <v>676</v>
      </c>
      <c r="N180" s="5">
        <v>10</v>
      </c>
      <c r="O180" s="5">
        <v>17</v>
      </c>
      <c r="P180" s="5"/>
      <c r="Q180" s="5"/>
      <c r="R180" s="5">
        <f>MAX(25, INT(POWER(2.2,J180/45)))</f>
        <v>468</v>
      </c>
      <c r="S180" s="5">
        <v>0</v>
      </c>
      <c r="T180" s="5">
        <v>1</v>
      </c>
      <c r="U180" s="5" t="s">
        <v>298</v>
      </c>
      <c r="V180" s="5"/>
      <c r="W180" s="5" t="s">
        <v>377</v>
      </c>
      <c r="X180" s="5"/>
      <c r="Y180" s="5" t="s">
        <v>312</v>
      </c>
      <c r="Z180" s="10" t="s">
        <v>71</v>
      </c>
      <c r="AA180" s="5" t="s">
        <v>532</v>
      </c>
      <c r="AB180" t="e">
        <f>COUNTIF([1]Sheet1!#REF!, "*"&amp; A180&amp;"*")</f>
        <v>#REF!</v>
      </c>
    </row>
    <row r="181" spans="1:28" x14ac:dyDescent="0.2">
      <c r="A181" s="5">
        <v>105007</v>
      </c>
      <c r="B181" s="5" t="s">
        <v>147</v>
      </c>
      <c r="C181" s="5">
        <v>158</v>
      </c>
      <c r="D181" s="5">
        <v>198</v>
      </c>
      <c r="E181" s="5">
        <v>85</v>
      </c>
      <c r="F181" s="5">
        <v>86</v>
      </c>
      <c r="G181" s="5">
        <v>54</v>
      </c>
      <c r="H181" s="5">
        <v>45</v>
      </c>
      <c r="I181" s="5">
        <v>68</v>
      </c>
      <c r="J181" s="5">
        <f>SUM(E181:I181)</f>
        <v>338</v>
      </c>
      <c r="K181" s="5">
        <v>215</v>
      </c>
      <c r="L181" s="5">
        <v>5</v>
      </c>
      <c r="M181" s="5" t="s">
        <v>676</v>
      </c>
      <c r="N181" s="5">
        <v>10</v>
      </c>
      <c r="O181" s="5">
        <v>17</v>
      </c>
      <c r="P181" s="5">
        <v>13</v>
      </c>
      <c r="Q181" s="5">
        <v>2.5</v>
      </c>
      <c r="R181" s="5">
        <f>MAX(25, INT(POWER(2.2,J181/45)))</f>
        <v>373</v>
      </c>
      <c r="S181" s="5">
        <v>0</v>
      </c>
      <c r="T181" s="5">
        <v>3</v>
      </c>
      <c r="U181" s="5" t="s">
        <v>289</v>
      </c>
      <c r="V181" s="5"/>
      <c r="W181" s="5"/>
      <c r="X181" s="5"/>
      <c r="Y181" s="5" t="s">
        <v>187</v>
      </c>
      <c r="Z181" s="10" t="s">
        <v>370</v>
      </c>
      <c r="AA181" s="5" t="s">
        <v>533</v>
      </c>
      <c r="AB181" t="e">
        <f>COUNTIF([1]Sheet1!#REF!, "*"&amp; A181&amp;"*")</f>
        <v>#REF!</v>
      </c>
    </row>
    <row r="182" spans="1:28" x14ac:dyDescent="0.2">
      <c r="A182" s="5">
        <v>105008</v>
      </c>
      <c r="B182" s="5" t="s">
        <v>216</v>
      </c>
      <c r="C182" s="5">
        <v>164</v>
      </c>
      <c r="D182" s="5">
        <v>192</v>
      </c>
      <c r="E182" s="5">
        <v>63</v>
      </c>
      <c r="F182" s="5">
        <v>43</v>
      </c>
      <c r="G182" s="5">
        <v>91</v>
      </c>
      <c r="H182" s="5">
        <v>78</v>
      </c>
      <c r="I182" s="5">
        <v>38</v>
      </c>
      <c r="J182" s="5">
        <f>SUM(E182:I182)</f>
        <v>313</v>
      </c>
      <c r="K182" s="5">
        <v>250</v>
      </c>
      <c r="L182" s="5">
        <v>5</v>
      </c>
      <c r="M182" s="5" t="s">
        <v>675</v>
      </c>
      <c r="N182" s="5">
        <v>10</v>
      </c>
      <c r="O182" s="5">
        <v>17</v>
      </c>
      <c r="P182" s="5">
        <v>15</v>
      </c>
      <c r="Q182" s="5"/>
      <c r="R182" s="5">
        <f>MAX(25, INT(POWER(2.2,J182/45)))</f>
        <v>240</v>
      </c>
      <c r="S182" s="5">
        <v>0</v>
      </c>
      <c r="T182" s="5">
        <v>3</v>
      </c>
      <c r="U182" s="5" t="s">
        <v>291</v>
      </c>
      <c r="V182" s="5"/>
      <c r="W182" s="5" t="s">
        <v>369</v>
      </c>
      <c r="X182" s="5"/>
      <c r="Y182" s="5" t="s">
        <v>188</v>
      </c>
      <c r="Z182" s="10" t="s">
        <v>165</v>
      </c>
      <c r="AA182" s="5" t="s">
        <v>534</v>
      </c>
      <c r="AB182" t="e">
        <f>COUNTIF([1]Sheet1!#REF!, "*"&amp; A182&amp;"*")</f>
        <v>#REF!</v>
      </c>
    </row>
    <row r="183" spans="1:28" x14ac:dyDescent="0.2">
      <c r="A183" s="5">
        <v>105009</v>
      </c>
      <c r="B183" s="5" t="s">
        <v>674</v>
      </c>
      <c r="C183" s="5">
        <v>160</v>
      </c>
      <c r="D183" s="5">
        <v>198</v>
      </c>
      <c r="E183" s="5">
        <v>69</v>
      </c>
      <c r="F183" s="5">
        <v>74</v>
      </c>
      <c r="G183" s="5">
        <v>24</v>
      </c>
      <c r="H183" s="5">
        <v>1</v>
      </c>
      <c r="I183" s="5">
        <v>17</v>
      </c>
      <c r="J183" s="5">
        <f>SUM(E183:I183)</f>
        <v>185</v>
      </c>
      <c r="K183" s="5">
        <v>370</v>
      </c>
      <c r="L183" s="5">
        <v>5</v>
      </c>
      <c r="M183" s="5" t="s">
        <v>677</v>
      </c>
      <c r="N183" s="5">
        <v>10</v>
      </c>
      <c r="O183" s="5">
        <v>17</v>
      </c>
      <c r="P183" s="5"/>
      <c r="Q183" s="5"/>
      <c r="R183" s="5">
        <f>MAX(25, INT(POWER(2.2,J183/45)))</f>
        <v>25</v>
      </c>
      <c r="S183" s="5">
        <v>0</v>
      </c>
      <c r="T183" s="5">
        <v>1</v>
      </c>
      <c r="U183" s="5" t="s">
        <v>297</v>
      </c>
      <c r="V183" s="5"/>
      <c r="W183" s="5" t="s">
        <v>323</v>
      </c>
      <c r="X183" s="5"/>
      <c r="Y183" s="5" t="s">
        <v>307</v>
      </c>
      <c r="Z183" s="10" t="s">
        <v>71</v>
      </c>
      <c r="AA183" s="5" t="s">
        <v>535</v>
      </c>
      <c r="AB183" t="e">
        <f>COUNTIF([1]Sheet1!#REF!, "*"&amp; A183&amp;"*")</f>
        <v>#REF!</v>
      </c>
    </row>
    <row r="184" spans="1:28" x14ac:dyDescent="0.2">
      <c r="A184" s="5">
        <v>105010</v>
      </c>
      <c r="B184" s="5" t="s">
        <v>217</v>
      </c>
      <c r="C184" s="5">
        <v>160</v>
      </c>
      <c r="D184" s="5">
        <v>197</v>
      </c>
      <c r="E184" s="5">
        <v>64</v>
      </c>
      <c r="F184" s="5">
        <v>76</v>
      </c>
      <c r="G184" s="5">
        <v>13</v>
      </c>
      <c r="H184" s="5">
        <v>14</v>
      </c>
      <c r="I184" s="5">
        <v>13</v>
      </c>
      <c r="J184" s="5">
        <f>SUM(E184:I184)</f>
        <v>180</v>
      </c>
      <c r="K184" s="5">
        <v>390</v>
      </c>
      <c r="L184" s="5">
        <v>5</v>
      </c>
      <c r="M184" s="5" t="s">
        <v>677</v>
      </c>
      <c r="N184" s="5">
        <v>10</v>
      </c>
      <c r="O184" s="5">
        <v>17</v>
      </c>
      <c r="P184" s="5"/>
      <c r="Q184" s="5"/>
      <c r="R184" s="5">
        <f>MAX(25, INT(POWER(2.2,J184/45)))</f>
        <v>25</v>
      </c>
      <c r="S184" s="5">
        <v>0</v>
      </c>
      <c r="T184" s="5">
        <v>1</v>
      </c>
      <c r="U184" s="5" t="s">
        <v>297</v>
      </c>
      <c r="V184" s="5"/>
      <c r="W184" t="s">
        <v>323</v>
      </c>
      <c r="Y184" s="5" t="s">
        <v>307</v>
      </c>
      <c r="Z184" s="10" t="s">
        <v>71</v>
      </c>
      <c r="AA184" s="5" t="s">
        <v>536</v>
      </c>
      <c r="AB184" t="e">
        <f>COUNTIF([1]Sheet1!#REF!, "*"&amp; A184&amp;"*")</f>
        <v>#REF!</v>
      </c>
    </row>
    <row r="185" spans="1:28" x14ac:dyDescent="0.2">
      <c r="A185" s="5">
        <v>105011</v>
      </c>
      <c r="B185" s="5" t="s">
        <v>241</v>
      </c>
      <c r="C185" s="5">
        <v>154</v>
      </c>
      <c r="D185" s="5">
        <v>199</v>
      </c>
      <c r="E185" s="5">
        <v>84</v>
      </c>
      <c r="F185" s="5">
        <v>55</v>
      </c>
      <c r="G185" s="5">
        <v>89</v>
      </c>
      <c r="H185" s="5">
        <v>82</v>
      </c>
      <c r="I185" s="5">
        <v>70</v>
      </c>
      <c r="J185" s="5">
        <f>SUM(E185:I185)</f>
        <v>380</v>
      </c>
      <c r="K185" s="5">
        <v>260</v>
      </c>
      <c r="L185" s="5">
        <v>5</v>
      </c>
      <c r="M185" s="5" t="s">
        <v>675</v>
      </c>
      <c r="N185" s="5">
        <v>10</v>
      </c>
      <c r="O185" s="5">
        <v>17</v>
      </c>
      <c r="P185" s="5">
        <v>15</v>
      </c>
      <c r="Q185" s="5"/>
      <c r="R185" s="5">
        <f>MAX(25, INT(POWER(2.2,J185/45)))</f>
        <v>779</v>
      </c>
      <c r="S185" s="5">
        <v>0</v>
      </c>
      <c r="T185" s="5">
        <v>3</v>
      </c>
      <c r="U185" s="5" t="s">
        <v>291</v>
      </c>
      <c r="V185" s="5"/>
      <c r="W185" s="5" t="s">
        <v>380</v>
      </c>
      <c r="X185" s="12" t="s">
        <v>398</v>
      </c>
      <c r="Y185" s="5" t="s">
        <v>188</v>
      </c>
      <c r="Z185" s="10" t="s">
        <v>164</v>
      </c>
      <c r="AA185" s="5" t="s">
        <v>537</v>
      </c>
      <c r="AB185" t="e">
        <f>COUNTIF([1]Sheet1!#REF!, "*"&amp; A185&amp;"*")</f>
        <v>#REF!</v>
      </c>
    </row>
    <row r="186" spans="1:28" x14ac:dyDescent="0.2">
      <c r="A186" s="5">
        <v>105012</v>
      </c>
      <c r="B186" s="5" t="s">
        <v>658</v>
      </c>
      <c r="C186" s="5">
        <v>172</v>
      </c>
      <c r="D186" s="5">
        <v>198</v>
      </c>
      <c r="E186" s="5">
        <v>25</v>
      </c>
      <c r="F186" s="5">
        <v>80</v>
      </c>
      <c r="G186" s="5">
        <v>40</v>
      </c>
      <c r="H186" s="5">
        <v>1</v>
      </c>
      <c r="I186" s="5">
        <v>29</v>
      </c>
      <c r="J186" s="5">
        <f>SUM(E186:I186)</f>
        <v>175</v>
      </c>
      <c r="K186" s="5">
        <v>260</v>
      </c>
      <c r="L186" s="5">
        <v>5</v>
      </c>
      <c r="M186" s="5" t="s">
        <v>677</v>
      </c>
      <c r="N186" s="5">
        <v>10</v>
      </c>
      <c r="O186" s="5">
        <v>17</v>
      </c>
      <c r="P186" s="5"/>
      <c r="Q186" s="5"/>
      <c r="R186" s="5">
        <f>MAX(25, INT(POWER(2.2,J186/45)))</f>
        <v>25</v>
      </c>
      <c r="S186" s="5">
        <v>0</v>
      </c>
      <c r="T186" s="5">
        <v>1</v>
      </c>
      <c r="U186" s="5" t="s">
        <v>298</v>
      </c>
      <c r="V186" s="5"/>
      <c r="W186" s="5"/>
      <c r="X186" s="5"/>
      <c r="Y186" s="5" t="s">
        <v>185</v>
      </c>
      <c r="Z186" s="10" t="s">
        <v>337</v>
      </c>
      <c r="AA186" s="5" t="s">
        <v>799</v>
      </c>
      <c r="AB186" t="e">
        <f>COUNTIF([1]Sheet1!#REF!, "*"&amp; A186&amp;"*")</f>
        <v>#REF!</v>
      </c>
    </row>
    <row r="187" spans="1:28" x14ac:dyDescent="0.2">
      <c r="A187" s="5">
        <v>105013</v>
      </c>
      <c r="B187" s="5" t="s">
        <v>659</v>
      </c>
      <c r="C187" s="5">
        <v>170</v>
      </c>
      <c r="D187" s="5">
        <v>198</v>
      </c>
      <c r="E187" s="5">
        <v>67</v>
      </c>
      <c r="F187" s="5">
        <v>78</v>
      </c>
      <c r="G187" s="5">
        <v>31</v>
      </c>
      <c r="H187" s="5">
        <v>32</v>
      </c>
      <c r="I187" s="5">
        <v>39</v>
      </c>
      <c r="J187" s="5">
        <f>SUM(E187:I187)</f>
        <v>247</v>
      </c>
      <c r="K187" s="5">
        <v>260</v>
      </c>
      <c r="L187" s="5">
        <v>5</v>
      </c>
      <c r="M187" s="5" t="s">
        <v>675</v>
      </c>
      <c r="N187" s="5">
        <v>10</v>
      </c>
      <c r="O187" s="5">
        <v>17</v>
      </c>
      <c r="P187" s="5"/>
      <c r="Q187" s="5"/>
      <c r="R187" s="5">
        <f>MAX(25, INT(POWER(2.2,J187/45)))</f>
        <v>75</v>
      </c>
      <c r="S187" s="5">
        <v>0</v>
      </c>
      <c r="T187" s="5">
        <v>1</v>
      </c>
      <c r="U187" s="5" t="s">
        <v>298</v>
      </c>
      <c r="V187" s="5"/>
      <c r="W187" s="5"/>
      <c r="X187" s="5"/>
      <c r="Y187" s="5" t="s">
        <v>185</v>
      </c>
      <c r="Z187" s="10" t="s">
        <v>337</v>
      </c>
      <c r="AA187" s="5" t="s">
        <v>800</v>
      </c>
    </row>
    <row r="188" spans="1:28" x14ac:dyDescent="0.2">
      <c r="A188" s="5">
        <v>105014</v>
      </c>
      <c r="B188" s="5" t="s">
        <v>660</v>
      </c>
      <c r="C188" s="5">
        <v>171</v>
      </c>
      <c r="D188" s="5">
        <v>198</v>
      </c>
      <c r="E188" s="5">
        <v>68</v>
      </c>
      <c r="F188" s="5">
        <v>77</v>
      </c>
      <c r="G188" s="5">
        <v>38</v>
      </c>
      <c r="H188" s="5">
        <v>27</v>
      </c>
      <c r="I188" s="5">
        <v>31</v>
      </c>
      <c r="J188" s="5">
        <f>SUM(E188:I188)</f>
        <v>241</v>
      </c>
      <c r="K188" s="5">
        <v>260</v>
      </c>
      <c r="L188" s="5">
        <v>5</v>
      </c>
      <c r="M188" s="5" t="s">
        <v>675</v>
      </c>
      <c r="N188" s="5">
        <v>10</v>
      </c>
      <c r="O188" s="5">
        <v>17</v>
      </c>
      <c r="P188" s="5"/>
      <c r="Q188" s="5"/>
      <c r="R188" s="5">
        <f>MAX(25, INT(POWER(2.2,J188/45)))</f>
        <v>68</v>
      </c>
      <c r="S188" s="5">
        <v>0</v>
      </c>
      <c r="T188" s="5">
        <v>1</v>
      </c>
      <c r="U188" s="5" t="s">
        <v>298</v>
      </c>
      <c r="V188" s="5"/>
      <c r="W188" s="5"/>
      <c r="X188" s="5"/>
      <c r="Y188" s="5" t="s">
        <v>185</v>
      </c>
      <c r="Z188" s="10" t="s">
        <v>337</v>
      </c>
      <c r="AA188" s="5" t="s">
        <v>801</v>
      </c>
    </row>
    <row r="189" spans="1:28" x14ac:dyDescent="0.2">
      <c r="A189" s="5">
        <v>105015</v>
      </c>
      <c r="B189" s="5" t="s">
        <v>661</v>
      </c>
      <c r="C189" s="5">
        <v>158</v>
      </c>
      <c r="D189" s="5">
        <v>192</v>
      </c>
      <c r="E189" s="5">
        <v>80</v>
      </c>
      <c r="F189" s="5">
        <v>76</v>
      </c>
      <c r="G189" s="5">
        <v>57</v>
      </c>
      <c r="H189" s="5">
        <v>43</v>
      </c>
      <c r="I189" s="5">
        <v>42</v>
      </c>
      <c r="J189" s="5">
        <f>SUM(E189:I189)</f>
        <v>298</v>
      </c>
      <c r="K189" s="5">
        <v>260</v>
      </c>
      <c r="L189" s="5">
        <v>5</v>
      </c>
      <c r="M189" s="5" t="s">
        <v>675</v>
      </c>
      <c r="N189" s="5">
        <v>10</v>
      </c>
      <c r="O189" s="5">
        <v>17</v>
      </c>
      <c r="P189" s="5"/>
      <c r="Q189" s="5"/>
      <c r="R189" s="5">
        <f>MAX(25, INT(POWER(2.2,J189/45)))</f>
        <v>185</v>
      </c>
      <c r="S189" s="5">
        <v>0</v>
      </c>
      <c r="T189" s="5">
        <v>1</v>
      </c>
      <c r="U189" s="5" t="s">
        <v>298</v>
      </c>
      <c r="V189" s="5"/>
      <c r="W189" s="5"/>
      <c r="X189" s="5"/>
      <c r="Y189" s="5" t="s">
        <v>185</v>
      </c>
      <c r="Z189" s="10" t="s">
        <v>337</v>
      </c>
      <c r="AA189" s="5" t="s">
        <v>906</v>
      </c>
    </row>
    <row r="190" spans="1:28" x14ac:dyDescent="0.2">
      <c r="A190" s="5">
        <v>105016</v>
      </c>
      <c r="B190" s="5" t="s">
        <v>662</v>
      </c>
      <c r="C190" s="5">
        <v>170</v>
      </c>
      <c r="D190" s="5">
        <v>198</v>
      </c>
      <c r="E190" s="5">
        <v>74</v>
      </c>
      <c r="F190" s="5">
        <v>75</v>
      </c>
      <c r="G190" s="5">
        <v>63</v>
      </c>
      <c r="H190" s="5">
        <v>56</v>
      </c>
      <c r="I190" s="5">
        <v>60</v>
      </c>
      <c r="J190" s="5">
        <f>SUM(E190:I190)</f>
        <v>328</v>
      </c>
      <c r="K190" s="5">
        <v>260</v>
      </c>
      <c r="L190" s="5">
        <v>5</v>
      </c>
      <c r="M190" s="5" t="s">
        <v>675</v>
      </c>
      <c r="N190" s="5">
        <v>10</v>
      </c>
      <c r="O190" s="5">
        <v>17</v>
      </c>
      <c r="P190" s="5"/>
      <c r="Q190" s="5"/>
      <c r="R190" s="5">
        <f>MAX(25, INT(POWER(2.2,J190/45)))</f>
        <v>313</v>
      </c>
      <c r="S190" s="5">
        <v>0</v>
      </c>
      <c r="T190" s="5">
        <v>1</v>
      </c>
      <c r="U190" s="5" t="s">
        <v>298</v>
      </c>
      <c r="V190" s="5"/>
      <c r="W190" s="5"/>
      <c r="X190" s="5"/>
      <c r="Y190" s="5" t="s">
        <v>185</v>
      </c>
      <c r="Z190" s="10" t="s">
        <v>337</v>
      </c>
      <c r="AA190" s="5" t="s">
        <v>802</v>
      </c>
    </row>
    <row r="191" spans="1:28" x14ac:dyDescent="0.2">
      <c r="A191" s="5">
        <v>105017</v>
      </c>
      <c r="B191" s="5" t="s">
        <v>964</v>
      </c>
      <c r="C191" s="5">
        <v>168</v>
      </c>
      <c r="D191" s="5">
        <v>191</v>
      </c>
      <c r="E191" s="5">
        <v>65</v>
      </c>
      <c r="F191" s="5">
        <v>74</v>
      </c>
      <c r="G191" s="5">
        <v>12</v>
      </c>
      <c r="H191" s="5">
        <v>15</v>
      </c>
      <c r="I191" s="5">
        <v>21</v>
      </c>
      <c r="J191" s="5">
        <f>SUM(E191:I191)</f>
        <v>187</v>
      </c>
      <c r="K191" s="5">
        <v>260</v>
      </c>
      <c r="L191" s="5">
        <v>5</v>
      </c>
      <c r="M191" s="5" t="s">
        <v>675</v>
      </c>
      <c r="N191" s="5">
        <v>10</v>
      </c>
      <c r="O191" s="5">
        <v>17</v>
      </c>
      <c r="P191" s="5"/>
      <c r="Q191" s="5"/>
      <c r="R191" s="5">
        <f>MAX(25, INT(POWER(2.2,J191/45)))</f>
        <v>26</v>
      </c>
      <c r="S191" s="5">
        <v>0</v>
      </c>
      <c r="T191" s="5">
        <v>1</v>
      </c>
      <c r="U191" s="5" t="s">
        <v>298</v>
      </c>
      <c r="V191" s="5"/>
      <c r="W191" s="5"/>
      <c r="X191" s="5"/>
      <c r="Y191" s="5" t="s">
        <v>185</v>
      </c>
      <c r="Z191" s="10" t="s">
        <v>337</v>
      </c>
      <c r="AA191" s="5" t="s">
        <v>869</v>
      </c>
    </row>
    <row r="192" spans="1:28" x14ac:dyDescent="0.2">
      <c r="A192" s="5">
        <v>105018</v>
      </c>
      <c r="B192" s="5" t="s">
        <v>663</v>
      </c>
      <c r="C192" s="5">
        <v>167</v>
      </c>
      <c r="D192" s="5">
        <v>207</v>
      </c>
      <c r="E192" s="5">
        <v>80</v>
      </c>
      <c r="F192" s="5">
        <v>73</v>
      </c>
      <c r="G192" s="5">
        <v>60</v>
      </c>
      <c r="H192" s="5">
        <v>45</v>
      </c>
      <c r="I192" s="5">
        <v>59</v>
      </c>
      <c r="J192" s="5">
        <f>SUM(E192:I192)</f>
        <v>317</v>
      </c>
      <c r="K192" s="5">
        <v>260</v>
      </c>
      <c r="L192" s="5">
        <v>5</v>
      </c>
      <c r="M192" s="5" t="s">
        <v>677</v>
      </c>
      <c r="N192" s="5">
        <v>10</v>
      </c>
      <c r="O192" s="5">
        <v>17</v>
      </c>
      <c r="P192" s="5"/>
      <c r="Q192" s="5"/>
      <c r="R192" s="5">
        <f>MAX(25, INT(POWER(2.2,J192/45)))</f>
        <v>258</v>
      </c>
      <c r="S192" s="5">
        <v>0</v>
      </c>
      <c r="T192" s="5">
        <v>1</v>
      </c>
      <c r="U192" s="5" t="s">
        <v>298</v>
      </c>
      <c r="V192" s="5"/>
      <c r="W192" s="5"/>
      <c r="X192" s="5"/>
      <c r="Y192" s="5" t="s">
        <v>185</v>
      </c>
      <c r="Z192" s="10" t="s">
        <v>337</v>
      </c>
      <c r="AA192" s="5" t="s">
        <v>803</v>
      </c>
    </row>
    <row r="193" spans="1:28" x14ac:dyDescent="0.2">
      <c r="A193" s="5">
        <v>105019</v>
      </c>
      <c r="B193" s="5" t="s">
        <v>664</v>
      </c>
      <c r="C193" s="5">
        <v>165</v>
      </c>
      <c r="D193" s="5">
        <v>197</v>
      </c>
      <c r="E193" s="5">
        <v>66</v>
      </c>
      <c r="F193" s="5">
        <v>73</v>
      </c>
      <c r="G193" s="5">
        <v>31</v>
      </c>
      <c r="H193" s="5">
        <v>24</v>
      </c>
      <c r="I193" s="5">
        <v>39</v>
      </c>
      <c r="J193" s="5">
        <f>SUM(E193:I193)</f>
        <v>233</v>
      </c>
      <c r="K193" s="5">
        <v>260</v>
      </c>
      <c r="L193" s="5">
        <v>5</v>
      </c>
      <c r="M193" s="5" t="s">
        <v>677</v>
      </c>
      <c r="N193" s="5">
        <v>10</v>
      </c>
      <c r="O193" s="5">
        <v>17</v>
      </c>
      <c r="P193" s="5"/>
      <c r="Q193" s="5"/>
      <c r="R193" s="5">
        <f>MAX(25, INT(POWER(2.2,J193/45)))</f>
        <v>59</v>
      </c>
      <c r="S193" s="5">
        <v>0</v>
      </c>
      <c r="T193" s="5">
        <v>1</v>
      </c>
      <c r="U193" s="5" t="s">
        <v>298</v>
      </c>
      <c r="V193" s="5"/>
      <c r="W193" s="5"/>
      <c r="X193" s="5"/>
      <c r="Y193" s="5" t="s">
        <v>185</v>
      </c>
      <c r="Z193" s="10" t="s">
        <v>337</v>
      </c>
      <c r="AA193" s="5" t="s">
        <v>870</v>
      </c>
    </row>
    <row r="194" spans="1:28" x14ac:dyDescent="0.2">
      <c r="A194" s="5">
        <v>105020</v>
      </c>
      <c r="B194" s="5" t="s">
        <v>665</v>
      </c>
      <c r="C194" s="5">
        <v>170</v>
      </c>
      <c r="D194" s="5">
        <v>198</v>
      </c>
      <c r="E194" s="5">
        <v>53</v>
      </c>
      <c r="F194" s="5">
        <v>73</v>
      </c>
      <c r="G194" s="5">
        <v>37</v>
      </c>
      <c r="H194" s="5">
        <v>26</v>
      </c>
      <c r="I194" s="5">
        <v>38</v>
      </c>
      <c r="J194" s="5">
        <f>SUM(E194:I194)</f>
        <v>227</v>
      </c>
      <c r="K194" s="5">
        <v>260</v>
      </c>
      <c r="L194" s="5">
        <v>5</v>
      </c>
      <c r="M194" s="5" t="s">
        <v>675</v>
      </c>
      <c r="N194" s="5">
        <v>10</v>
      </c>
      <c r="O194" s="5">
        <v>17</v>
      </c>
      <c r="P194" s="5"/>
      <c r="Q194" s="5"/>
      <c r="R194" s="5">
        <f>MAX(25, INT(POWER(2.2,J194/45)))</f>
        <v>53</v>
      </c>
      <c r="S194" s="5">
        <v>0</v>
      </c>
      <c r="T194" s="5">
        <v>1</v>
      </c>
      <c r="U194" s="5" t="s">
        <v>298</v>
      </c>
      <c r="V194" s="5"/>
      <c r="W194" s="5"/>
      <c r="X194" s="5"/>
      <c r="Y194" s="5" t="s">
        <v>185</v>
      </c>
      <c r="Z194" s="10" t="s">
        <v>337</v>
      </c>
      <c r="AA194" s="5" t="s">
        <v>866</v>
      </c>
    </row>
    <row r="195" spans="1:28" x14ac:dyDescent="0.2">
      <c r="A195" s="5">
        <v>105021</v>
      </c>
      <c r="B195" s="5" t="s">
        <v>666</v>
      </c>
      <c r="C195" s="5">
        <v>171</v>
      </c>
      <c r="D195" s="5">
        <v>192</v>
      </c>
      <c r="E195" s="5">
        <v>46</v>
      </c>
      <c r="F195" s="5">
        <v>69</v>
      </c>
      <c r="G195" s="5">
        <v>59</v>
      </c>
      <c r="H195" s="5">
        <v>15</v>
      </c>
      <c r="I195" s="5">
        <v>36</v>
      </c>
      <c r="J195" s="5">
        <f>SUM(E195:I195)</f>
        <v>225</v>
      </c>
      <c r="K195" s="5">
        <v>260</v>
      </c>
      <c r="L195" s="5">
        <v>5</v>
      </c>
      <c r="M195" s="5" t="s">
        <v>675</v>
      </c>
      <c r="N195" s="5">
        <v>10</v>
      </c>
      <c r="O195" s="5">
        <v>17</v>
      </c>
      <c r="P195" s="5"/>
      <c r="Q195" s="5"/>
      <c r="R195" s="5">
        <f>MAX(25, INT(POWER(2.2,J195/45)))</f>
        <v>51</v>
      </c>
      <c r="S195" s="5">
        <v>0</v>
      </c>
      <c r="T195" s="5">
        <v>1</v>
      </c>
      <c r="U195" s="5" t="s">
        <v>298</v>
      </c>
      <c r="V195" s="5"/>
      <c r="W195" s="5"/>
      <c r="X195" s="5"/>
      <c r="Y195" s="5" t="s">
        <v>185</v>
      </c>
      <c r="Z195" s="10" t="s">
        <v>337</v>
      </c>
      <c r="AA195" s="5" t="s">
        <v>867</v>
      </c>
    </row>
    <row r="196" spans="1:28" x14ac:dyDescent="0.2">
      <c r="A196" s="5">
        <v>105022</v>
      </c>
      <c r="B196" s="5" t="s">
        <v>667</v>
      </c>
      <c r="C196" s="5">
        <v>176</v>
      </c>
      <c r="D196" s="5">
        <v>196</v>
      </c>
      <c r="E196" s="5">
        <v>69</v>
      </c>
      <c r="F196" s="5">
        <v>65</v>
      </c>
      <c r="G196" s="5">
        <v>51</v>
      </c>
      <c r="H196" s="5">
        <v>52</v>
      </c>
      <c r="I196" s="5">
        <v>54</v>
      </c>
      <c r="J196" s="5">
        <f>SUM(E196:I196)</f>
        <v>291</v>
      </c>
      <c r="K196" s="5">
        <v>260</v>
      </c>
      <c r="L196" s="5">
        <v>5</v>
      </c>
      <c r="M196" s="5" t="s">
        <v>677</v>
      </c>
      <c r="N196" s="5">
        <v>10</v>
      </c>
      <c r="O196" s="5">
        <v>17</v>
      </c>
      <c r="P196" s="5"/>
      <c r="Q196" s="5"/>
      <c r="R196" s="5">
        <f>MAX(25, INT(POWER(2.2,J196/45)))</f>
        <v>163</v>
      </c>
      <c r="S196" s="5">
        <v>0</v>
      </c>
      <c r="T196" s="5">
        <v>1</v>
      </c>
      <c r="U196" s="5" t="s">
        <v>298</v>
      </c>
      <c r="V196" s="5"/>
      <c r="W196" s="5"/>
      <c r="X196" s="5"/>
      <c r="Y196" s="5" t="s">
        <v>185</v>
      </c>
      <c r="Z196" s="10" t="s">
        <v>337</v>
      </c>
      <c r="AA196" s="5" t="s">
        <v>827</v>
      </c>
    </row>
    <row r="197" spans="1:28" x14ac:dyDescent="0.2">
      <c r="A197" s="5">
        <v>105023</v>
      </c>
      <c r="B197" s="5" t="s">
        <v>668</v>
      </c>
      <c r="C197" s="5">
        <v>156</v>
      </c>
      <c r="D197" s="5">
        <v>195</v>
      </c>
      <c r="E197" s="5">
        <v>78</v>
      </c>
      <c r="F197" s="5">
        <v>65</v>
      </c>
      <c r="G197" s="5">
        <v>70</v>
      </c>
      <c r="H197" s="5">
        <v>74</v>
      </c>
      <c r="I197" s="5">
        <v>73</v>
      </c>
      <c r="J197" s="5">
        <f>SUM(E197:I197)</f>
        <v>360</v>
      </c>
      <c r="K197" s="5">
        <v>260</v>
      </c>
      <c r="L197" s="5">
        <v>5</v>
      </c>
      <c r="M197" s="5" t="s">
        <v>675</v>
      </c>
      <c r="N197" s="5">
        <v>10</v>
      </c>
      <c r="O197" s="5">
        <v>17</v>
      </c>
      <c r="P197" s="5"/>
      <c r="Q197" s="5"/>
      <c r="R197" s="5">
        <f>MAX(25, INT(POWER(2.2,J197/45)))</f>
        <v>548</v>
      </c>
      <c r="S197" s="5">
        <v>0</v>
      </c>
      <c r="T197" s="5">
        <v>1</v>
      </c>
      <c r="U197" s="5" t="s">
        <v>298</v>
      </c>
      <c r="V197" s="5"/>
      <c r="W197" s="5"/>
      <c r="X197" s="5"/>
      <c r="Y197" s="5" t="s">
        <v>185</v>
      </c>
      <c r="Z197" s="10" t="s">
        <v>337</v>
      </c>
      <c r="AA197" s="5" t="s">
        <v>805</v>
      </c>
    </row>
    <row r="198" spans="1:28" x14ac:dyDescent="0.2">
      <c r="A198" s="5">
        <v>105024</v>
      </c>
      <c r="B198" s="5" t="s">
        <v>669</v>
      </c>
      <c r="C198" s="5">
        <v>172</v>
      </c>
      <c r="D198" s="5">
        <v>215</v>
      </c>
      <c r="E198" s="5">
        <v>66</v>
      </c>
      <c r="F198" s="5">
        <v>65</v>
      </c>
      <c r="G198" s="5">
        <v>31</v>
      </c>
      <c r="H198" s="5">
        <v>14</v>
      </c>
      <c r="I198" s="5">
        <v>58</v>
      </c>
      <c r="J198" s="5">
        <f>SUM(E198:I198)</f>
        <v>234</v>
      </c>
      <c r="K198" s="5">
        <v>260</v>
      </c>
      <c r="L198" s="5">
        <v>5</v>
      </c>
      <c r="M198" s="5" t="s">
        <v>675</v>
      </c>
      <c r="N198" s="5">
        <v>10</v>
      </c>
      <c r="O198" s="5">
        <v>17</v>
      </c>
      <c r="P198" s="5"/>
      <c r="Q198" s="5"/>
      <c r="R198" s="5">
        <f>MAX(25, INT(POWER(2.2,J198/45)))</f>
        <v>60</v>
      </c>
      <c r="S198" s="5">
        <v>0</v>
      </c>
      <c r="T198" s="5">
        <v>1</v>
      </c>
      <c r="U198" s="5" t="s">
        <v>298</v>
      </c>
      <c r="V198" s="5"/>
      <c r="W198" s="5"/>
      <c r="X198" s="5"/>
      <c r="Y198" s="5" t="s">
        <v>185</v>
      </c>
      <c r="Z198" s="10" t="s">
        <v>337</v>
      </c>
      <c r="AA198" s="5" t="s">
        <v>806</v>
      </c>
    </row>
    <row r="199" spans="1:28" x14ac:dyDescent="0.2">
      <c r="A199" s="5">
        <v>105025</v>
      </c>
      <c r="B199" s="5" t="s">
        <v>670</v>
      </c>
      <c r="C199" s="5">
        <v>165</v>
      </c>
      <c r="D199" s="5">
        <v>192</v>
      </c>
      <c r="E199" s="5">
        <v>38</v>
      </c>
      <c r="F199" s="5">
        <v>60</v>
      </c>
      <c r="G199" s="5">
        <v>21</v>
      </c>
      <c r="H199" s="5">
        <v>26</v>
      </c>
      <c r="I199" s="5">
        <v>37</v>
      </c>
      <c r="J199" s="5">
        <f>SUM(E199:I199)</f>
        <v>182</v>
      </c>
      <c r="K199" s="5">
        <v>260</v>
      </c>
      <c r="L199" s="5">
        <v>5</v>
      </c>
      <c r="M199" s="5" t="s">
        <v>677</v>
      </c>
      <c r="N199" s="5">
        <v>10</v>
      </c>
      <c r="O199" s="5">
        <v>17</v>
      </c>
      <c r="P199" s="5"/>
      <c r="Q199" s="5"/>
      <c r="R199" s="5">
        <f>MAX(25, INT(POWER(2.2,J199/45)))</f>
        <v>25</v>
      </c>
      <c r="S199" s="5">
        <v>0</v>
      </c>
      <c r="T199" s="5">
        <v>1</v>
      </c>
      <c r="U199" s="5" t="s">
        <v>298</v>
      </c>
      <c r="V199" s="5"/>
      <c r="W199" s="5"/>
      <c r="X199" s="5"/>
      <c r="Y199" s="5" t="s">
        <v>185</v>
      </c>
      <c r="Z199" s="10" t="s">
        <v>337</v>
      </c>
      <c r="AA199" s="5" t="s">
        <v>807</v>
      </c>
    </row>
    <row r="200" spans="1:28" x14ac:dyDescent="0.2">
      <c r="A200" s="5">
        <v>105026</v>
      </c>
      <c r="B200" s="5" t="s">
        <v>965</v>
      </c>
      <c r="C200" s="5">
        <v>165</v>
      </c>
      <c r="D200" s="5">
        <v>192</v>
      </c>
      <c r="E200" s="5">
        <v>49</v>
      </c>
      <c r="F200" s="5">
        <v>60</v>
      </c>
      <c r="G200" s="5">
        <v>25</v>
      </c>
      <c r="H200" s="5">
        <v>12</v>
      </c>
      <c r="I200" s="5">
        <v>23</v>
      </c>
      <c r="J200" s="5">
        <f>SUM(E200:I200)</f>
        <v>169</v>
      </c>
      <c r="K200" s="5">
        <v>260</v>
      </c>
      <c r="L200" s="5">
        <v>5</v>
      </c>
      <c r="M200" s="5" t="s">
        <v>676</v>
      </c>
      <c r="N200" s="5">
        <v>10</v>
      </c>
      <c r="O200" s="5">
        <v>17</v>
      </c>
      <c r="P200" s="5"/>
      <c r="Q200" s="5"/>
      <c r="R200" s="5">
        <f>MAX(25, INT(POWER(2.2,J200/45)))</f>
        <v>25</v>
      </c>
      <c r="S200" s="5">
        <v>0</v>
      </c>
      <c r="T200" s="5">
        <v>1</v>
      </c>
      <c r="U200" s="5" t="s">
        <v>298</v>
      </c>
      <c r="V200" s="5"/>
      <c r="W200" s="5"/>
      <c r="X200" s="5"/>
      <c r="Y200" s="5" t="s">
        <v>185</v>
      </c>
      <c r="Z200" s="10" t="s">
        <v>337</v>
      </c>
      <c r="AA200" s="5" t="s">
        <v>868</v>
      </c>
    </row>
    <row r="201" spans="1:28" x14ac:dyDescent="0.2">
      <c r="A201" s="5">
        <v>105027</v>
      </c>
      <c r="B201" s="5" t="s">
        <v>966</v>
      </c>
      <c r="C201" s="5">
        <v>135</v>
      </c>
      <c r="D201" s="5">
        <v>195</v>
      </c>
      <c r="E201" s="5">
        <v>83</v>
      </c>
      <c r="F201" s="5">
        <v>58</v>
      </c>
      <c r="G201" s="5">
        <v>70</v>
      </c>
      <c r="H201" s="5">
        <v>48</v>
      </c>
      <c r="I201" s="5">
        <v>69</v>
      </c>
      <c r="J201" s="5">
        <f>SUM(E201:I201)</f>
        <v>328</v>
      </c>
      <c r="K201" s="5">
        <v>260</v>
      </c>
      <c r="L201" s="5">
        <v>5</v>
      </c>
      <c r="M201" s="5" t="s">
        <v>677</v>
      </c>
      <c r="N201" s="5">
        <v>10</v>
      </c>
      <c r="O201" s="5">
        <v>17</v>
      </c>
      <c r="P201" s="5"/>
      <c r="Q201" s="5"/>
      <c r="R201" s="5">
        <f>MAX(25, INT(POWER(2.2,J201/45)))</f>
        <v>313</v>
      </c>
      <c r="S201" s="5">
        <v>0</v>
      </c>
      <c r="T201" s="5">
        <v>1</v>
      </c>
      <c r="U201" s="5" t="s">
        <v>298</v>
      </c>
      <c r="V201" s="5"/>
      <c r="W201" s="5"/>
      <c r="X201" s="5"/>
      <c r="Y201" s="5" t="s">
        <v>185</v>
      </c>
      <c r="Z201" s="10" t="s">
        <v>337</v>
      </c>
      <c r="AA201" s="5" t="s">
        <v>804</v>
      </c>
    </row>
    <row r="202" spans="1:28" x14ac:dyDescent="0.2">
      <c r="A202" s="5">
        <v>105028</v>
      </c>
      <c r="B202" s="5" t="s">
        <v>671</v>
      </c>
      <c r="C202" s="5">
        <v>167</v>
      </c>
      <c r="D202" s="5">
        <v>200</v>
      </c>
      <c r="E202" s="5">
        <v>56</v>
      </c>
      <c r="F202" s="5">
        <v>53</v>
      </c>
      <c r="G202" s="5">
        <v>65</v>
      </c>
      <c r="H202" s="5">
        <v>63</v>
      </c>
      <c r="I202" s="5">
        <v>75</v>
      </c>
      <c r="J202" s="5">
        <f>SUM(E202:I202)</f>
        <v>312</v>
      </c>
      <c r="K202" s="5">
        <v>260</v>
      </c>
      <c r="L202" s="5">
        <v>5</v>
      </c>
      <c r="M202" s="5" t="s">
        <v>676</v>
      </c>
      <c r="N202" s="5">
        <v>10</v>
      </c>
      <c r="O202" s="5">
        <v>17</v>
      </c>
      <c r="P202" s="5"/>
      <c r="Q202" s="5"/>
      <c r="R202" s="5">
        <f>MAX(25, INT(POWER(2.2,J202/45)))</f>
        <v>236</v>
      </c>
      <c r="S202" s="5">
        <v>0</v>
      </c>
      <c r="T202" s="5">
        <v>1</v>
      </c>
      <c r="U202" s="5" t="s">
        <v>298</v>
      </c>
      <c r="V202" s="5"/>
      <c r="W202" s="5"/>
      <c r="X202" s="5"/>
      <c r="Y202" s="5" t="s">
        <v>185</v>
      </c>
      <c r="Z202" s="10" t="s">
        <v>337</v>
      </c>
      <c r="AA202" s="5" t="s">
        <v>828</v>
      </c>
    </row>
    <row r="203" spans="1:28" x14ac:dyDescent="0.2">
      <c r="A203" s="5">
        <v>105029</v>
      </c>
      <c r="B203" s="5" t="s">
        <v>672</v>
      </c>
      <c r="C203" s="5">
        <v>157</v>
      </c>
      <c r="D203" s="5">
        <v>232</v>
      </c>
      <c r="E203" s="5">
        <v>18</v>
      </c>
      <c r="F203" s="5">
        <v>33</v>
      </c>
      <c r="G203" s="5">
        <v>82</v>
      </c>
      <c r="H203" s="5">
        <v>84</v>
      </c>
      <c r="I203" s="5">
        <v>17</v>
      </c>
      <c r="J203" s="5">
        <f>SUM(E203:I203)</f>
        <v>234</v>
      </c>
      <c r="K203" s="5">
        <v>260</v>
      </c>
      <c r="L203" s="5">
        <v>5</v>
      </c>
      <c r="M203" s="5" t="s">
        <v>676</v>
      </c>
      <c r="N203" s="5">
        <v>10</v>
      </c>
      <c r="O203" s="5">
        <v>17</v>
      </c>
      <c r="P203" s="5"/>
      <c r="Q203" s="5"/>
      <c r="R203" s="5">
        <f>MAX(25, INT(POWER(2.2,J203/45)))</f>
        <v>60</v>
      </c>
      <c r="S203" s="5">
        <v>0</v>
      </c>
      <c r="T203" s="5">
        <v>1</v>
      </c>
      <c r="U203" s="5" t="s">
        <v>298</v>
      </c>
      <c r="V203" s="5"/>
      <c r="W203" s="5"/>
      <c r="X203" s="5"/>
      <c r="Y203" s="5" t="s">
        <v>185</v>
      </c>
      <c r="Z203" s="10" t="s">
        <v>337</v>
      </c>
      <c r="AA203" s="5" t="s">
        <v>789</v>
      </c>
    </row>
    <row r="204" spans="1:28" x14ac:dyDescent="0.2">
      <c r="A204" s="5">
        <v>105030</v>
      </c>
      <c r="B204" s="5" t="s">
        <v>673</v>
      </c>
      <c r="C204" s="5">
        <v>137</v>
      </c>
      <c r="D204" s="5">
        <v>192</v>
      </c>
      <c r="E204" s="5">
        <v>25</v>
      </c>
      <c r="F204" s="5">
        <v>5</v>
      </c>
      <c r="G204" s="5">
        <v>67</v>
      </c>
      <c r="H204" s="5">
        <v>83</v>
      </c>
      <c r="I204" s="5">
        <v>73</v>
      </c>
      <c r="J204" s="5">
        <f>SUM(E204:I204)</f>
        <v>253</v>
      </c>
      <c r="K204" s="5">
        <v>260</v>
      </c>
      <c r="L204" s="5">
        <v>5</v>
      </c>
      <c r="M204" s="5" t="s">
        <v>675</v>
      </c>
      <c r="N204" s="5">
        <v>10</v>
      </c>
      <c r="O204" s="5">
        <v>17</v>
      </c>
      <c r="P204" s="5"/>
      <c r="Q204" s="5"/>
      <c r="R204" s="5">
        <f>MAX(25, INT(POWER(2.2,J204/45)))</f>
        <v>84</v>
      </c>
      <c r="S204" s="5">
        <v>0</v>
      </c>
      <c r="T204" s="5">
        <v>1</v>
      </c>
      <c r="U204" s="5" t="s">
        <v>298</v>
      </c>
      <c r="V204" s="5"/>
      <c r="W204" s="5"/>
      <c r="X204" s="5"/>
      <c r="Y204" s="5" t="s">
        <v>185</v>
      </c>
      <c r="Z204" s="10" t="s">
        <v>337</v>
      </c>
      <c r="AA204" s="5" t="s">
        <v>829</v>
      </c>
    </row>
    <row r="205" spans="1:28" x14ac:dyDescent="0.2">
      <c r="A205" s="13">
        <v>100006</v>
      </c>
      <c r="B205" s="13" t="s">
        <v>158</v>
      </c>
      <c r="C205" s="13">
        <v>155</v>
      </c>
      <c r="D205" s="13">
        <v>212</v>
      </c>
      <c r="E205" s="5">
        <v>82</v>
      </c>
      <c r="F205" s="5">
        <v>80</v>
      </c>
      <c r="G205" s="5">
        <v>51</v>
      </c>
      <c r="H205" s="5">
        <v>58</v>
      </c>
      <c r="I205" s="5">
        <v>88</v>
      </c>
      <c r="J205" s="5">
        <f>SUM(E205:I205)</f>
        <v>359</v>
      </c>
      <c r="K205" s="5">
        <v>290</v>
      </c>
      <c r="L205" s="5">
        <v>6</v>
      </c>
      <c r="M205" s="5" t="s">
        <v>620</v>
      </c>
      <c r="N205" s="5">
        <v>10</v>
      </c>
      <c r="O205" s="5">
        <v>17</v>
      </c>
      <c r="P205" s="5"/>
      <c r="Q205" s="5"/>
      <c r="R205" s="5">
        <f>MAX(25, INT(POWER(2.2,J205/45)))</f>
        <v>539</v>
      </c>
      <c r="S205" s="5">
        <v>0</v>
      </c>
      <c r="T205" s="5">
        <v>1</v>
      </c>
      <c r="U205" s="5" t="s">
        <v>284</v>
      </c>
      <c r="V205" s="5"/>
      <c r="W205" s="5"/>
      <c r="X205" s="5"/>
      <c r="Y205" s="5" t="s">
        <v>184</v>
      </c>
      <c r="Z205" s="10" t="s">
        <v>71</v>
      </c>
      <c r="AA205" s="5" t="s">
        <v>559</v>
      </c>
    </row>
    <row r="206" spans="1:28" x14ac:dyDescent="0.2">
      <c r="A206" s="5">
        <v>106001</v>
      </c>
      <c r="B206" s="5" t="s">
        <v>29</v>
      </c>
      <c r="C206" s="5">
        <v>176</v>
      </c>
      <c r="D206" s="5">
        <v>222</v>
      </c>
      <c r="E206" s="5">
        <v>92</v>
      </c>
      <c r="F206" s="5">
        <v>97</v>
      </c>
      <c r="G206" s="5">
        <v>42</v>
      </c>
      <c r="H206" s="5">
        <v>25</v>
      </c>
      <c r="I206" s="5">
        <v>80</v>
      </c>
      <c r="J206" s="5">
        <f>SUM(E206:I206)</f>
        <v>336</v>
      </c>
      <c r="K206" s="5">
        <v>335</v>
      </c>
      <c r="L206" s="5">
        <v>6</v>
      </c>
      <c r="M206" s="5" t="s">
        <v>620</v>
      </c>
      <c r="N206" s="5">
        <v>10</v>
      </c>
      <c r="O206" s="5">
        <v>17</v>
      </c>
      <c r="P206" s="5"/>
      <c r="Q206" s="5"/>
      <c r="R206" s="5">
        <f>MAX(25, INT(POWER(2.2,J206/45)))</f>
        <v>360</v>
      </c>
      <c r="S206" s="5">
        <v>0</v>
      </c>
      <c r="T206" s="5">
        <v>1</v>
      </c>
      <c r="U206" s="5" t="s">
        <v>298</v>
      </c>
      <c r="V206" s="5"/>
      <c r="W206" s="5" t="s">
        <v>343</v>
      </c>
      <c r="X206" s="5"/>
      <c r="Y206" s="5" t="s">
        <v>186</v>
      </c>
      <c r="Z206" s="10" t="s">
        <v>337</v>
      </c>
      <c r="AA206" s="5" t="s">
        <v>410</v>
      </c>
      <c r="AB206" t="e">
        <f>COUNTIF([1]Sheet1!#REF!, "*"&amp; A206&amp;"*")</f>
        <v>#REF!</v>
      </c>
    </row>
    <row r="207" spans="1:28" x14ac:dyDescent="0.2">
      <c r="A207" s="5">
        <v>106002</v>
      </c>
      <c r="B207" s="5" t="s">
        <v>34</v>
      </c>
      <c r="C207" s="5">
        <v>183</v>
      </c>
      <c r="D207" s="5">
        <v>235</v>
      </c>
      <c r="E207" s="5">
        <v>80</v>
      </c>
      <c r="F207" s="5">
        <v>85</v>
      </c>
      <c r="G207" s="5">
        <v>66</v>
      </c>
      <c r="H207" s="5">
        <v>45</v>
      </c>
      <c r="I207" s="5">
        <v>68</v>
      </c>
      <c r="J207" s="5">
        <f>SUM(E207:I207)</f>
        <v>344</v>
      </c>
      <c r="K207" s="5">
        <v>300</v>
      </c>
      <c r="L207" s="5">
        <v>6</v>
      </c>
      <c r="M207" s="5" t="s">
        <v>620</v>
      </c>
      <c r="N207" s="5">
        <v>10</v>
      </c>
      <c r="O207" s="5">
        <v>17</v>
      </c>
      <c r="P207" s="5"/>
      <c r="Q207" s="5"/>
      <c r="R207" s="5">
        <f>MAX(25, INT(POWER(2.2,J207/45)))</f>
        <v>414</v>
      </c>
      <c r="S207" s="5">
        <v>0</v>
      </c>
      <c r="T207" s="5">
        <v>1</v>
      </c>
      <c r="U207" s="5" t="s">
        <v>298</v>
      </c>
      <c r="V207" s="5"/>
      <c r="W207" s="5" t="s">
        <v>305</v>
      </c>
      <c r="X207" s="5" t="s">
        <v>385</v>
      </c>
      <c r="Y207" s="5" t="s">
        <v>186</v>
      </c>
      <c r="Z207" s="10" t="s">
        <v>71</v>
      </c>
      <c r="AA207" s="5" t="s">
        <v>418</v>
      </c>
      <c r="AB207" t="e">
        <f>COUNTIF([1]Sheet1!#REF!, "*"&amp; A207&amp;"*")</f>
        <v>#REF!</v>
      </c>
    </row>
    <row r="208" spans="1:28" x14ac:dyDescent="0.2">
      <c r="A208" s="5">
        <v>106003</v>
      </c>
      <c r="B208" s="5" t="s">
        <v>235</v>
      </c>
      <c r="C208" s="5">
        <v>176</v>
      </c>
      <c r="D208" s="5">
        <v>219</v>
      </c>
      <c r="E208" s="5">
        <v>89</v>
      </c>
      <c r="F208" s="5">
        <v>94</v>
      </c>
      <c r="G208" s="5">
        <v>67</v>
      </c>
      <c r="H208" s="5">
        <v>43</v>
      </c>
      <c r="I208" s="5">
        <v>67</v>
      </c>
      <c r="J208" s="5">
        <f>SUM(E208:I208)</f>
        <v>360</v>
      </c>
      <c r="K208" s="5">
        <v>280</v>
      </c>
      <c r="L208" s="5">
        <v>6</v>
      </c>
      <c r="M208" s="5" t="s">
        <v>620</v>
      </c>
      <c r="N208" s="5">
        <v>10</v>
      </c>
      <c r="O208" s="5">
        <v>17</v>
      </c>
      <c r="P208" s="5"/>
      <c r="Q208" s="5"/>
      <c r="R208" s="5">
        <f>MAX(25, INT(POWER(2.2,J208/45)))</f>
        <v>548</v>
      </c>
      <c r="S208" s="5">
        <v>0</v>
      </c>
      <c r="T208" s="5">
        <v>1</v>
      </c>
      <c r="U208" s="5" t="s">
        <v>288</v>
      </c>
      <c r="V208" s="5"/>
      <c r="W208" s="5" t="s">
        <v>304</v>
      </c>
      <c r="X208" s="5"/>
      <c r="Y208" s="5" t="s">
        <v>186</v>
      </c>
      <c r="Z208" s="10" t="s">
        <v>71</v>
      </c>
      <c r="AA208" s="5" t="s">
        <v>461</v>
      </c>
      <c r="AB208" t="e">
        <f>COUNTIF([1]Sheet1!#REF!, "*"&amp; A208&amp;"*")</f>
        <v>#REF!</v>
      </c>
    </row>
    <row r="209" spans="1:28" x14ac:dyDescent="0.2">
      <c r="A209" s="5">
        <v>106004</v>
      </c>
      <c r="B209" s="5" t="s">
        <v>611</v>
      </c>
      <c r="C209" s="5">
        <v>170</v>
      </c>
      <c r="D209" s="5">
        <v>220</v>
      </c>
      <c r="E209" s="5">
        <v>70</v>
      </c>
      <c r="F209" s="5">
        <v>68</v>
      </c>
      <c r="G209" s="5">
        <v>76</v>
      </c>
      <c r="H209" s="5">
        <v>60</v>
      </c>
      <c r="I209" s="5">
        <v>65</v>
      </c>
      <c r="J209" s="5">
        <f>SUM(E209:I209)</f>
        <v>339</v>
      </c>
      <c r="K209" s="5">
        <v>300</v>
      </c>
      <c r="L209" s="5">
        <v>6</v>
      </c>
      <c r="M209" s="5" t="s">
        <v>621</v>
      </c>
      <c r="N209" s="5">
        <v>10</v>
      </c>
      <c r="O209" s="5">
        <v>17</v>
      </c>
      <c r="P209" s="5"/>
      <c r="Q209" s="5"/>
      <c r="R209" s="5">
        <f>MAX(25, INT(POWER(2.2,J209/45)))</f>
        <v>379</v>
      </c>
      <c r="S209" s="5">
        <v>0</v>
      </c>
      <c r="T209" s="5">
        <v>1</v>
      </c>
      <c r="U209" s="5" t="s">
        <v>298</v>
      </c>
      <c r="V209" s="5"/>
      <c r="W209" s="5"/>
      <c r="X209" s="5"/>
      <c r="Y209" s="5" t="s">
        <v>185</v>
      </c>
      <c r="Z209" s="10" t="s">
        <v>337</v>
      </c>
      <c r="AA209" s="5" t="s">
        <v>808</v>
      </c>
      <c r="AB209" t="e">
        <f>COUNTIF([1]Sheet1!#REF!, "*"&amp; A209&amp;"*")</f>
        <v>#REF!</v>
      </c>
    </row>
    <row r="210" spans="1:28" x14ac:dyDescent="0.2">
      <c r="A210" s="5">
        <v>106005</v>
      </c>
      <c r="B210" s="5" t="s">
        <v>605</v>
      </c>
      <c r="C210" s="5">
        <v>175</v>
      </c>
      <c r="D210" s="5">
        <v>211</v>
      </c>
      <c r="E210" s="5">
        <v>72</v>
      </c>
      <c r="F210" s="5">
        <v>70</v>
      </c>
      <c r="G210" s="5">
        <v>40</v>
      </c>
      <c r="H210" s="5">
        <v>47</v>
      </c>
      <c r="I210" s="5">
        <v>54</v>
      </c>
      <c r="J210" s="5">
        <f>SUM(E210:I210)</f>
        <v>283</v>
      </c>
      <c r="K210" s="5">
        <v>300</v>
      </c>
      <c r="L210" s="5">
        <v>6</v>
      </c>
      <c r="M210" s="5" t="s">
        <v>621</v>
      </c>
      <c r="N210" s="5">
        <v>10</v>
      </c>
      <c r="O210" s="5">
        <v>17</v>
      </c>
      <c r="P210" s="5"/>
      <c r="Q210" s="5"/>
      <c r="R210" s="5">
        <f>MAX(25, INT(POWER(2.2,J210/45)))</f>
        <v>142</v>
      </c>
      <c r="S210" s="5">
        <v>0</v>
      </c>
      <c r="T210" s="5">
        <v>1</v>
      </c>
      <c r="U210" s="5" t="s">
        <v>298</v>
      </c>
      <c r="V210" s="5"/>
      <c r="W210" s="5"/>
      <c r="X210" s="5"/>
      <c r="Y210" s="5" t="s">
        <v>185</v>
      </c>
      <c r="Z210" s="10" t="s">
        <v>337</v>
      </c>
      <c r="AA210" s="5" t="s">
        <v>809</v>
      </c>
    </row>
    <row r="211" spans="1:28" x14ac:dyDescent="0.2">
      <c r="A211" s="5">
        <v>106006</v>
      </c>
      <c r="B211" s="5" t="s">
        <v>606</v>
      </c>
      <c r="C211" s="5">
        <v>170</v>
      </c>
      <c r="D211" s="5">
        <v>211</v>
      </c>
      <c r="E211" s="5">
        <v>59</v>
      </c>
      <c r="F211" s="5">
        <v>62</v>
      </c>
      <c r="G211" s="5">
        <v>32</v>
      </c>
      <c r="H211" s="5">
        <v>52</v>
      </c>
      <c r="I211" s="5">
        <v>49</v>
      </c>
      <c r="J211" s="5">
        <f>SUM(E211:I211)</f>
        <v>254</v>
      </c>
      <c r="K211" s="5">
        <v>300</v>
      </c>
      <c r="L211" s="5">
        <v>6</v>
      </c>
      <c r="M211" s="5" t="s">
        <v>621</v>
      </c>
      <c r="N211" s="5">
        <v>10</v>
      </c>
      <c r="O211" s="5">
        <v>17</v>
      </c>
      <c r="P211" s="5"/>
      <c r="Q211" s="5"/>
      <c r="R211" s="5">
        <f>MAX(25, INT(POWER(2.2,J211/45)))</f>
        <v>85</v>
      </c>
      <c r="S211" s="5">
        <v>0</v>
      </c>
      <c r="T211" s="5">
        <v>1</v>
      </c>
      <c r="U211" s="5" t="s">
        <v>298</v>
      </c>
      <c r="V211" s="5"/>
      <c r="W211" s="5"/>
      <c r="X211" s="5"/>
      <c r="Y211" s="5" t="s">
        <v>185</v>
      </c>
      <c r="Z211" s="10" t="s">
        <v>337</v>
      </c>
      <c r="AA211" s="5" t="s">
        <v>871</v>
      </c>
    </row>
    <row r="212" spans="1:28" x14ac:dyDescent="0.2">
      <c r="A212" s="5">
        <v>106007</v>
      </c>
      <c r="B212" s="5" t="s">
        <v>612</v>
      </c>
      <c r="C212" s="5">
        <v>178</v>
      </c>
      <c r="D212" s="5">
        <v>212</v>
      </c>
      <c r="E212" s="5">
        <v>63</v>
      </c>
      <c r="F212" s="5">
        <v>67</v>
      </c>
      <c r="G212" s="5">
        <v>44</v>
      </c>
      <c r="H212" s="5">
        <v>41</v>
      </c>
      <c r="I212" s="5">
        <v>63</v>
      </c>
      <c r="J212" s="5">
        <f>SUM(E212:I212)</f>
        <v>278</v>
      </c>
      <c r="K212" s="5">
        <v>300</v>
      </c>
      <c r="L212" s="5">
        <v>6</v>
      </c>
      <c r="M212" s="5" t="s">
        <v>620</v>
      </c>
      <c r="N212" s="5">
        <v>10</v>
      </c>
      <c r="O212" s="5">
        <v>17</v>
      </c>
      <c r="P212" s="5"/>
      <c r="Q212" s="5"/>
      <c r="R212" s="5">
        <f>MAX(25, INT(POWER(2.2,J212/45)))</f>
        <v>130</v>
      </c>
      <c r="S212" s="5">
        <v>0</v>
      </c>
      <c r="T212" s="5">
        <v>1</v>
      </c>
      <c r="U212" s="5" t="s">
        <v>298</v>
      </c>
      <c r="V212" s="5"/>
      <c r="W212" s="5"/>
      <c r="X212" s="5"/>
      <c r="Y212" s="5" t="s">
        <v>185</v>
      </c>
      <c r="Z212" s="10" t="s">
        <v>337</v>
      </c>
      <c r="AA212" s="5" t="s">
        <v>830</v>
      </c>
    </row>
    <row r="213" spans="1:28" x14ac:dyDescent="0.2">
      <c r="A213" s="5">
        <v>106008</v>
      </c>
      <c r="B213" s="5" t="s">
        <v>613</v>
      </c>
      <c r="C213" s="5">
        <v>175</v>
      </c>
      <c r="D213" s="5">
        <v>211</v>
      </c>
      <c r="E213" s="5">
        <v>68</v>
      </c>
      <c r="F213" s="5">
        <v>71</v>
      </c>
      <c r="G213" s="5">
        <v>15</v>
      </c>
      <c r="H213" s="5">
        <v>22</v>
      </c>
      <c r="I213" s="5">
        <v>35</v>
      </c>
      <c r="J213" s="5">
        <f>SUM(E213:I213)</f>
        <v>211</v>
      </c>
      <c r="K213" s="5">
        <v>300</v>
      </c>
      <c r="L213" s="5">
        <v>6</v>
      </c>
      <c r="M213" s="5" t="s">
        <v>621</v>
      </c>
      <c r="N213" s="5">
        <v>10</v>
      </c>
      <c r="O213" s="5">
        <v>17</v>
      </c>
      <c r="P213" s="5"/>
      <c r="Q213" s="5"/>
      <c r="R213" s="5">
        <f>MAX(25, INT(POWER(2.2,J213/45)))</f>
        <v>40</v>
      </c>
      <c r="S213" s="5">
        <v>0</v>
      </c>
      <c r="T213" s="5">
        <v>1</v>
      </c>
      <c r="U213" s="5" t="s">
        <v>298</v>
      </c>
      <c r="V213" s="5"/>
      <c r="W213" s="5"/>
      <c r="X213" s="5"/>
      <c r="Y213" s="5" t="s">
        <v>185</v>
      </c>
      <c r="Z213" s="10" t="s">
        <v>337</v>
      </c>
      <c r="AA213" s="5" t="s">
        <v>831</v>
      </c>
    </row>
    <row r="214" spans="1:28" x14ac:dyDescent="0.2">
      <c r="A214" s="5">
        <v>106009</v>
      </c>
      <c r="B214" s="5" t="s">
        <v>614</v>
      </c>
      <c r="C214" s="5">
        <v>179</v>
      </c>
      <c r="D214" s="5">
        <v>212</v>
      </c>
      <c r="E214" s="5">
        <v>65</v>
      </c>
      <c r="F214" s="5">
        <v>57</v>
      </c>
      <c r="G214" s="5">
        <v>52</v>
      </c>
      <c r="H214" s="5">
        <v>48</v>
      </c>
      <c r="I214" s="5">
        <v>57</v>
      </c>
      <c r="J214" s="5">
        <f>SUM(E214:I214)</f>
        <v>279</v>
      </c>
      <c r="K214" s="5">
        <v>300</v>
      </c>
      <c r="L214" s="5">
        <v>6</v>
      </c>
      <c r="M214" s="5" t="s">
        <v>620</v>
      </c>
      <c r="N214" s="5">
        <v>10</v>
      </c>
      <c r="O214" s="5">
        <v>17</v>
      </c>
      <c r="P214" s="5"/>
      <c r="Q214" s="5"/>
      <c r="R214" s="5">
        <f>MAX(25, INT(POWER(2.2,J214/45)))</f>
        <v>132</v>
      </c>
      <c r="S214" s="5">
        <v>0</v>
      </c>
      <c r="T214" s="5">
        <v>1</v>
      </c>
      <c r="U214" s="5" t="s">
        <v>298</v>
      </c>
      <c r="V214" s="5"/>
      <c r="W214" s="5"/>
      <c r="X214" s="5"/>
      <c r="Y214" s="5" t="s">
        <v>185</v>
      </c>
      <c r="Z214" s="10" t="s">
        <v>337</v>
      </c>
      <c r="AA214" s="5" t="s">
        <v>832</v>
      </c>
    </row>
    <row r="215" spans="1:28" x14ac:dyDescent="0.2">
      <c r="A215" s="5">
        <v>106010</v>
      </c>
      <c r="B215" s="5" t="s">
        <v>608</v>
      </c>
      <c r="C215" s="5">
        <v>172</v>
      </c>
      <c r="D215" s="5">
        <v>211</v>
      </c>
      <c r="E215" s="5">
        <v>59</v>
      </c>
      <c r="F215" s="5">
        <v>63</v>
      </c>
      <c r="G215" s="5">
        <v>18</v>
      </c>
      <c r="H215" s="5">
        <v>21</v>
      </c>
      <c r="I215" s="5">
        <v>25</v>
      </c>
      <c r="J215" s="5">
        <f>SUM(E215:I215)</f>
        <v>186</v>
      </c>
      <c r="K215" s="5">
        <v>300</v>
      </c>
      <c r="L215" s="5">
        <v>6</v>
      </c>
      <c r="M215" s="5" t="s">
        <v>621</v>
      </c>
      <c r="N215" s="5">
        <v>10</v>
      </c>
      <c r="O215" s="5">
        <v>17</v>
      </c>
      <c r="P215" s="5"/>
      <c r="Q215" s="5"/>
      <c r="R215" s="5">
        <f>MAX(25, INT(POWER(2.2,J215/45)))</f>
        <v>26</v>
      </c>
      <c r="S215" s="5">
        <v>0</v>
      </c>
      <c r="T215" s="5">
        <v>1</v>
      </c>
      <c r="U215" s="5" t="s">
        <v>298</v>
      </c>
      <c r="V215" s="5"/>
      <c r="W215" s="5"/>
      <c r="X215" s="5"/>
      <c r="Y215" s="5" t="s">
        <v>185</v>
      </c>
      <c r="Z215" s="10" t="s">
        <v>337</v>
      </c>
      <c r="AA215" s="5" t="s">
        <v>872</v>
      </c>
    </row>
    <row r="216" spans="1:28" x14ac:dyDescent="0.2">
      <c r="A216" s="5">
        <v>106011</v>
      </c>
      <c r="B216" s="5" t="s">
        <v>607</v>
      </c>
      <c r="C216" s="5">
        <v>170</v>
      </c>
      <c r="D216" s="5">
        <v>211</v>
      </c>
      <c r="E216" s="5">
        <v>67</v>
      </c>
      <c r="F216" s="5">
        <v>71</v>
      </c>
      <c r="G216" s="5">
        <v>39</v>
      </c>
      <c r="H216" s="5">
        <v>35</v>
      </c>
      <c r="I216" s="5">
        <v>49</v>
      </c>
      <c r="J216" s="5">
        <f>SUM(E216:I216)</f>
        <v>261</v>
      </c>
      <c r="K216" s="5">
        <v>300</v>
      </c>
      <c r="L216" s="5">
        <v>6</v>
      </c>
      <c r="M216" s="5" t="s">
        <v>621</v>
      </c>
      <c r="N216" s="5">
        <v>10</v>
      </c>
      <c r="O216" s="5">
        <v>17</v>
      </c>
      <c r="P216" s="5"/>
      <c r="Q216" s="5"/>
      <c r="R216" s="5">
        <f>MAX(25, INT(POWER(2.2,J216/45)))</f>
        <v>96</v>
      </c>
      <c r="S216" s="5">
        <v>0</v>
      </c>
      <c r="T216" s="5">
        <v>1</v>
      </c>
      <c r="U216" s="5" t="s">
        <v>298</v>
      </c>
      <c r="V216" s="5"/>
      <c r="W216" s="5"/>
      <c r="X216" s="5"/>
      <c r="Y216" s="5" t="s">
        <v>185</v>
      </c>
      <c r="Z216" s="10" t="s">
        <v>337</v>
      </c>
      <c r="AA216" s="5" t="s">
        <v>833</v>
      </c>
    </row>
    <row r="217" spans="1:28" x14ac:dyDescent="0.2">
      <c r="A217" s="5">
        <v>106012</v>
      </c>
      <c r="B217" s="5" t="s">
        <v>609</v>
      </c>
      <c r="C217" s="5">
        <v>175</v>
      </c>
      <c r="D217" s="5">
        <v>220</v>
      </c>
      <c r="E217" s="5">
        <v>64</v>
      </c>
      <c r="F217" s="5">
        <v>61</v>
      </c>
      <c r="G217" s="5">
        <v>55</v>
      </c>
      <c r="H217" s="5">
        <v>61</v>
      </c>
      <c r="I217" s="5">
        <v>40</v>
      </c>
      <c r="J217" s="5">
        <f>SUM(E217:I217)</f>
        <v>281</v>
      </c>
      <c r="K217" s="5">
        <v>300</v>
      </c>
      <c r="L217" s="5">
        <v>6</v>
      </c>
      <c r="M217" s="5" t="s">
        <v>621</v>
      </c>
      <c r="N217" s="5">
        <v>10</v>
      </c>
      <c r="O217" s="5">
        <v>17</v>
      </c>
      <c r="P217" s="5"/>
      <c r="Q217" s="5"/>
      <c r="R217" s="5">
        <f>MAX(25, INT(POWER(2.2,J217/45)))</f>
        <v>137</v>
      </c>
      <c r="S217" s="5">
        <v>0</v>
      </c>
      <c r="T217" s="5">
        <v>1</v>
      </c>
      <c r="U217" s="5" t="s">
        <v>298</v>
      </c>
      <c r="V217" s="5"/>
      <c r="W217" s="5"/>
      <c r="X217" s="5"/>
      <c r="Y217" s="5" t="s">
        <v>185</v>
      </c>
      <c r="Z217" s="10" t="s">
        <v>337</v>
      </c>
      <c r="AA217" s="5" t="s">
        <v>873</v>
      </c>
    </row>
    <row r="218" spans="1:28" x14ac:dyDescent="0.2">
      <c r="A218" s="5">
        <v>106013</v>
      </c>
      <c r="B218" s="5" t="s">
        <v>610</v>
      </c>
      <c r="C218" s="5">
        <v>175</v>
      </c>
      <c r="D218" s="5">
        <v>215</v>
      </c>
      <c r="E218" s="5">
        <v>72</v>
      </c>
      <c r="F218" s="5">
        <v>84</v>
      </c>
      <c r="G218" s="5">
        <v>61</v>
      </c>
      <c r="H218" s="5">
        <v>58</v>
      </c>
      <c r="I218" s="5">
        <v>69</v>
      </c>
      <c r="J218" s="5">
        <f>SUM(E218:I218)</f>
        <v>344</v>
      </c>
      <c r="K218" s="5">
        <v>300</v>
      </c>
      <c r="L218" s="5">
        <v>6</v>
      </c>
      <c r="M218" s="5" t="s">
        <v>621</v>
      </c>
      <c r="N218" s="5">
        <v>10</v>
      </c>
      <c r="O218" s="5">
        <v>17</v>
      </c>
      <c r="P218" s="5"/>
      <c r="Q218" s="5"/>
      <c r="R218" s="5">
        <f>MAX(25, INT(POWER(2.2,J218/45)))</f>
        <v>414</v>
      </c>
      <c r="S218" s="5">
        <v>0</v>
      </c>
      <c r="T218" s="5">
        <v>1</v>
      </c>
      <c r="U218" s="5" t="s">
        <v>298</v>
      </c>
      <c r="V218" s="5"/>
      <c r="W218" s="5"/>
      <c r="X218" s="5"/>
      <c r="Y218" s="5" t="s">
        <v>185</v>
      </c>
      <c r="Z218" s="10" t="s">
        <v>337</v>
      </c>
      <c r="AA218" s="5" t="s">
        <v>874</v>
      </c>
    </row>
    <row r="219" spans="1:28" x14ac:dyDescent="0.2">
      <c r="A219" s="5">
        <v>106014</v>
      </c>
      <c r="B219" s="5" t="s">
        <v>245</v>
      </c>
      <c r="C219" s="5">
        <v>158</v>
      </c>
      <c r="D219" s="5">
        <v>215</v>
      </c>
      <c r="E219" s="5">
        <v>84</v>
      </c>
      <c r="F219" s="5">
        <v>75</v>
      </c>
      <c r="G219" s="5">
        <v>77</v>
      </c>
      <c r="H219" s="5">
        <v>61</v>
      </c>
      <c r="I219" s="5">
        <v>80</v>
      </c>
      <c r="J219" s="5">
        <f>SUM(E219:I219)</f>
        <v>377</v>
      </c>
      <c r="K219" s="5">
        <v>290</v>
      </c>
      <c r="L219" s="5">
        <v>6</v>
      </c>
      <c r="M219" s="5" t="s">
        <v>621</v>
      </c>
      <c r="N219" s="5">
        <v>10</v>
      </c>
      <c r="O219" s="5">
        <v>17</v>
      </c>
      <c r="P219" s="5"/>
      <c r="Q219" s="5"/>
      <c r="R219" s="5">
        <f>MAX(25, INT(POWER(2.2,J219/45)))</f>
        <v>739</v>
      </c>
      <c r="S219" s="5">
        <v>0</v>
      </c>
      <c r="T219" s="5">
        <v>1</v>
      </c>
      <c r="U219" s="5" t="s">
        <v>298</v>
      </c>
      <c r="V219" s="5"/>
      <c r="W219" s="5" t="s">
        <v>387</v>
      </c>
      <c r="X219" s="5"/>
      <c r="Y219" s="5" t="s">
        <v>313</v>
      </c>
      <c r="Z219" s="10" t="s">
        <v>71</v>
      </c>
      <c r="AA219" s="5" t="s">
        <v>564</v>
      </c>
    </row>
    <row r="220" spans="1:28" x14ac:dyDescent="0.2">
      <c r="A220" s="13">
        <v>100007</v>
      </c>
      <c r="B220" s="13" t="s">
        <v>567</v>
      </c>
      <c r="C220" s="13">
        <v>142</v>
      </c>
      <c r="D220" s="13">
        <v>208</v>
      </c>
      <c r="E220" s="5">
        <v>46</v>
      </c>
      <c r="F220" s="5">
        <v>31</v>
      </c>
      <c r="G220" s="5">
        <v>68</v>
      </c>
      <c r="H220" s="5">
        <v>81</v>
      </c>
      <c r="I220" s="5">
        <v>80</v>
      </c>
      <c r="J220" s="5">
        <f>SUM(E220:I220)</f>
        <v>306</v>
      </c>
      <c r="K220" s="5">
        <v>310</v>
      </c>
      <c r="L220" s="5">
        <v>7</v>
      </c>
      <c r="M220" s="5" t="s">
        <v>630</v>
      </c>
      <c r="N220" s="5">
        <v>10</v>
      </c>
      <c r="O220" s="5">
        <v>17</v>
      </c>
      <c r="P220" s="5"/>
      <c r="Q220" s="5"/>
      <c r="R220" s="5">
        <v>0</v>
      </c>
      <c r="S220" s="5">
        <v>0</v>
      </c>
      <c r="T220" s="5">
        <v>1</v>
      </c>
      <c r="U220" s="5" t="s">
        <v>284</v>
      </c>
      <c r="V220" s="5"/>
      <c r="W220" s="5"/>
      <c r="X220" s="5"/>
      <c r="Y220" s="5" t="s">
        <v>184</v>
      </c>
      <c r="Z220" s="10" t="s">
        <v>71</v>
      </c>
      <c r="AA220" s="5" t="s">
        <v>571</v>
      </c>
      <c r="AB220" t="e">
        <f>COUNTIF([1]Sheet1!#REF!, "*"&amp; A220&amp;"*")</f>
        <v>#REF!</v>
      </c>
    </row>
    <row r="221" spans="1:28" x14ac:dyDescent="0.2">
      <c r="A221" s="5">
        <v>107001</v>
      </c>
      <c r="B221" s="5" t="s">
        <v>969</v>
      </c>
      <c r="C221" s="5">
        <v>175</v>
      </c>
      <c r="D221" s="5">
        <v>234</v>
      </c>
      <c r="E221" s="5">
        <v>84</v>
      </c>
      <c r="F221" s="5">
        <v>91</v>
      </c>
      <c r="G221" s="5">
        <v>67</v>
      </c>
      <c r="H221" s="5">
        <v>68</v>
      </c>
      <c r="I221" s="5">
        <v>55</v>
      </c>
      <c r="J221" s="5">
        <f>SUM(E221:I221)</f>
        <v>365</v>
      </c>
      <c r="K221" s="5">
        <v>300</v>
      </c>
      <c r="L221" s="5">
        <v>7</v>
      </c>
      <c r="M221" s="5" t="s">
        <v>632</v>
      </c>
      <c r="N221" s="5">
        <v>10</v>
      </c>
      <c r="O221" s="5">
        <v>17</v>
      </c>
      <c r="P221" s="5"/>
      <c r="Q221" s="5"/>
      <c r="R221" s="5">
        <f>MAX(25, INT(POWER(2.2,J221/45)))</f>
        <v>599</v>
      </c>
      <c r="S221" s="5">
        <v>0</v>
      </c>
      <c r="T221" s="5">
        <v>1</v>
      </c>
      <c r="U221" s="5" t="s">
        <v>287</v>
      </c>
      <c r="V221" s="5"/>
      <c r="W221" s="5" t="s">
        <v>258</v>
      </c>
      <c r="X221" s="5" t="s">
        <v>386</v>
      </c>
      <c r="Y221" s="5" t="s">
        <v>186</v>
      </c>
      <c r="Z221" s="10" t="s">
        <v>71</v>
      </c>
      <c r="AA221" s="5" t="s">
        <v>414</v>
      </c>
      <c r="AB221" t="e">
        <f>COUNTIF([1]Sheet1!#REF!, "*"&amp; A221&amp;"*")</f>
        <v>#REF!</v>
      </c>
    </row>
    <row r="222" spans="1:28" x14ac:dyDescent="0.2">
      <c r="A222" s="5">
        <v>107002</v>
      </c>
      <c r="B222" s="5" t="s">
        <v>968</v>
      </c>
      <c r="C222" s="5">
        <v>145</v>
      </c>
      <c r="D222" s="5">
        <v>220</v>
      </c>
      <c r="E222" s="5">
        <v>88</v>
      </c>
      <c r="F222" s="5">
        <v>93</v>
      </c>
      <c r="G222" s="5">
        <v>64</v>
      </c>
      <c r="H222" s="5">
        <v>52</v>
      </c>
      <c r="I222" s="5">
        <v>75</v>
      </c>
      <c r="J222" s="5">
        <f>SUM(E222:I222)</f>
        <v>372</v>
      </c>
      <c r="K222" s="5">
        <v>210</v>
      </c>
      <c r="L222" s="5">
        <v>7</v>
      </c>
      <c r="M222" s="5" t="s">
        <v>632</v>
      </c>
      <c r="N222" s="5">
        <v>10</v>
      </c>
      <c r="O222" s="5">
        <v>17</v>
      </c>
      <c r="P222" s="5">
        <v>22</v>
      </c>
      <c r="Q222" s="5">
        <v>1.5</v>
      </c>
      <c r="R222" s="5">
        <f>MAX(25, INT(POWER(2.2,J222/45)))</f>
        <v>677</v>
      </c>
      <c r="S222" s="5">
        <v>0</v>
      </c>
      <c r="T222" s="5">
        <v>3</v>
      </c>
      <c r="U222" s="5" t="s">
        <v>294</v>
      </c>
      <c r="V222" s="5"/>
      <c r="W222" s="5" t="s">
        <v>259</v>
      </c>
      <c r="X222" s="5" t="s">
        <v>344</v>
      </c>
      <c r="Y222" s="5" t="s">
        <v>187</v>
      </c>
      <c r="Z222" s="10" t="s">
        <v>341</v>
      </c>
      <c r="AA222" s="5" t="s">
        <v>415</v>
      </c>
      <c r="AB222" t="e">
        <f>COUNTIF([1]Sheet1!#REF!, "*"&amp; A222&amp;"*")</f>
        <v>#REF!</v>
      </c>
    </row>
    <row r="223" spans="1:28" x14ac:dyDescent="0.2">
      <c r="A223" s="5">
        <v>107003</v>
      </c>
      <c r="B223" s="5" t="s">
        <v>967</v>
      </c>
      <c r="C223" s="5">
        <v>165</v>
      </c>
      <c r="D223" s="5">
        <v>208</v>
      </c>
      <c r="E223" s="5">
        <v>60</v>
      </c>
      <c r="F223" s="5">
        <v>70</v>
      </c>
      <c r="G223" s="5">
        <v>59</v>
      </c>
      <c r="H223" s="5">
        <v>52</v>
      </c>
      <c r="I223" s="5">
        <v>66</v>
      </c>
      <c r="J223" s="5">
        <f>SUM(E223:I223)</f>
        <v>307</v>
      </c>
      <c r="K223" s="5">
        <v>300</v>
      </c>
      <c r="L223" s="5">
        <v>7</v>
      </c>
      <c r="M223" s="5" t="s">
        <v>631</v>
      </c>
      <c r="N223" s="5">
        <v>10</v>
      </c>
      <c r="O223" s="5">
        <v>17</v>
      </c>
      <c r="P223" s="5"/>
      <c r="Q223" s="5"/>
      <c r="R223" s="5">
        <f>MAX(25, INT(POWER(2.2,J223/45)))</f>
        <v>216</v>
      </c>
      <c r="S223" s="5">
        <v>0</v>
      </c>
      <c r="T223" s="5">
        <v>1</v>
      </c>
      <c r="U223" s="5" t="s">
        <v>298</v>
      </c>
      <c r="V223" s="5"/>
      <c r="W223" s="5"/>
      <c r="X223" s="5"/>
      <c r="Y223" s="5" t="s">
        <v>185</v>
      </c>
      <c r="Z223" s="10" t="s">
        <v>337</v>
      </c>
      <c r="AA223" s="5" t="s">
        <v>875</v>
      </c>
      <c r="AB223" t="e">
        <f>COUNTIF([1]Sheet1!#REF!, "*"&amp; A223&amp;"*")</f>
        <v>#REF!</v>
      </c>
    </row>
    <row r="224" spans="1:28" x14ac:dyDescent="0.2">
      <c r="A224" s="5">
        <v>107004</v>
      </c>
      <c r="B224" s="5" t="s">
        <v>971</v>
      </c>
      <c r="C224" s="5">
        <v>177</v>
      </c>
      <c r="D224" s="5">
        <v>217</v>
      </c>
      <c r="E224" s="5">
        <v>5</v>
      </c>
      <c r="F224" s="5">
        <v>2</v>
      </c>
      <c r="G224" s="5">
        <v>79</v>
      </c>
      <c r="H224" s="5">
        <v>81</v>
      </c>
      <c r="I224" s="5">
        <v>52</v>
      </c>
      <c r="J224" s="5">
        <f>SUM(E224:I224)</f>
        <v>219</v>
      </c>
      <c r="K224" s="5">
        <v>300</v>
      </c>
      <c r="L224" s="5">
        <v>7</v>
      </c>
      <c r="M224" s="5" t="s">
        <v>631</v>
      </c>
      <c r="N224" s="5">
        <v>10</v>
      </c>
      <c r="O224" s="5">
        <v>17</v>
      </c>
      <c r="P224" s="5"/>
      <c r="Q224" s="5"/>
      <c r="R224" s="5">
        <f>MAX(25, INT(POWER(2.2,J224/45)))</f>
        <v>46</v>
      </c>
      <c r="S224" s="5">
        <v>0</v>
      </c>
      <c r="T224" s="5">
        <v>1</v>
      </c>
      <c r="U224" s="5" t="s">
        <v>298</v>
      </c>
      <c r="V224" s="5"/>
      <c r="W224" s="5"/>
      <c r="X224" s="5"/>
      <c r="Y224" s="5" t="s">
        <v>185</v>
      </c>
      <c r="Z224" s="10" t="s">
        <v>337</v>
      </c>
      <c r="AA224" s="5" t="s">
        <v>877</v>
      </c>
      <c r="AB224" t="e">
        <f>COUNTIF([1]Sheet1!#REF!, "*"&amp; A224&amp;"*")</f>
        <v>#REF!</v>
      </c>
    </row>
    <row r="225" spans="1:28" x14ac:dyDescent="0.2">
      <c r="A225" s="5">
        <v>107005</v>
      </c>
      <c r="B225" s="5" t="s">
        <v>970</v>
      </c>
      <c r="C225" s="5">
        <v>158</v>
      </c>
      <c r="D225" s="5">
        <v>208</v>
      </c>
      <c r="E225" s="5">
        <v>73</v>
      </c>
      <c r="F225" s="5">
        <v>65</v>
      </c>
      <c r="G225" s="5">
        <v>52</v>
      </c>
      <c r="H225" s="5">
        <v>37</v>
      </c>
      <c r="I225" s="5">
        <v>31</v>
      </c>
      <c r="J225" s="5">
        <f>SUM(E225:I225)</f>
        <v>258</v>
      </c>
      <c r="K225" s="5">
        <v>300</v>
      </c>
      <c r="L225" s="5">
        <v>7</v>
      </c>
      <c r="M225" s="5" t="s">
        <v>631</v>
      </c>
      <c r="N225" s="5">
        <v>10</v>
      </c>
      <c r="O225" s="5">
        <v>17</v>
      </c>
      <c r="P225" s="5"/>
      <c r="Q225" s="5"/>
      <c r="R225" s="5">
        <f>MAX(25, INT(POWER(2.2,J225/45)))</f>
        <v>91</v>
      </c>
      <c r="S225" s="5">
        <v>0</v>
      </c>
      <c r="T225" s="5">
        <v>1</v>
      </c>
      <c r="U225" s="5" t="s">
        <v>298</v>
      </c>
      <c r="V225" s="5"/>
      <c r="W225" s="5"/>
      <c r="X225" s="5"/>
      <c r="Y225" s="5" t="s">
        <v>185</v>
      </c>
      <c r="Z225" s="10" t="s">
        <v>337</v>
      </c>
      <c r="AA225" s="5" t="s">
        <v>876</v>
      </c>
      <c r="AB225" t="e">
        <f>COUNTIF([1]Sheet1!#REF!, "*"&amp; A225&amp;"*")</f>
        <v>#REF!</v>
      </c>
    </row>
    <row r="226" spans="1:28" x14ac:dyDescent="0.2">
      <c r="A226" s="5">
        <v>107006</v>
      </c>
      <c r="B226" s="5" t="s">
        <v>975</v>
      </c>
      <c r="C226" s="5">
        <v>159</v>
      </c>
      <c r="D226" s="5">
        <v>215</v>
      </c>
      <c r="E226" s="5">
        <v>25</v>
      </c>
      <c r="F226" s="5">
        <v>15</v>
      </c>
      <c r="G226" s="5">
        <v>70</v>
      </c>
      <c r="H226" s="5">
        <v>78</v>
      </c>
      <c r="I226" s="5">
        <v>61</v>
      </c>
      <c r="J226" s="5">
        <f>SUM(E226:I226)</f>
        <v>249</v>
      </c>
      <c r="K226" s="5">
        <v>300</v>
      </c>
      <c r="L226" s="5">
        <v>7</v>
      </c>
      <c r="M226" s="5" t="s">
        <v>630</v>
      </c>
      <c r="N226" s="5">
        <v>10</v>
      </c>
      <c r="O226" s="5">
        <v>17</v>
      </c>
      <c r="P226" s="5"/>
      <c r="Q226" s="5"/>
      <c r="R226" s="5">
        <f>MAX(25, INT(POWER(2.2,J226/45)))</f>
        <v>78</v>
      </c>
      <c r="S226" s="5">
        <v>0</v>
      </c>
      <c r="T226" s="5">
        <v>1</v>
      </c>
      <c r="U226" s="5" t="s">
        <v>298</v>
      </c>
      <c r="V226" s="5"/>
      <c r="W226" s="5"/>
      <c r="X226" s="5"/>
      <c r="Y226" s="5" t="s">
        <v>185</v>
      </c>
      <c r="Z226" s="10" t="s">
        <v>337</v>
      </c>
      <c r="AA226" s="5" t="s">
        <v>878</v>
      </c>
    </row>
    <row r="227" spans="1:28" x14ac:dyDescent="0.2">
      <c r="A227" s="5">
        <v>107007</v>
      </c>
      <c r="B227" s="5" t="s">
        <v>974</v>
      </c>
      <c r="C227" s="5">
        <v>162</v>
      </c>
      <c r="D227" s="5">
        <v>209</v>
      </c>
      <c r="E227" s="5">
        <v>66</v>
      </c>
      <c r="F227" s="5">
        <v>60</v>
      </c>
      <c r="G227" s="5">
        <v>63</v>
      </c>
      <c r="H227" s="5">
        <v>59</v>
      </c>
      <c r="I227" s="5">
        <v>60</v>
      </c>
      <c r="J227" s="5">
        <f>SUM(E227:I227)</f>
        <v>308</v>
      </c>
      <c r="K227" s="5">
        <v>300</v>
      </c>
      <c r="L227" s="5">
        <v>7</v>
      </c>
      <c r="M227" s="5" t="s">
        <v>634</v>
      </c>
      <c r="N227" s="5">
        <v>10</v>
      </c>
      <c r="O227" s="5">
        <v>17</v>
      </c>
      <c r="P227" s="5"/>
      <c r="Q227" s="5"/>
      <c r="R227" s="5">
        <f>MAX(25, INT(POWER(2.2,J227/45)))</f>
        <v>220</v>
      </c>
      <c r="S227" s="5">
        <v>0</v>
      </c>
      <c r="T227" s="5">
        <v>1</v>
      </c>
      <c r="U227" s="5" t="s">
        <v>298</v>
      </c>
      <c r="V227" s="5"/>
      <c r="W227" s="5"/>
      <c r="X227" s="5"/>
      <c r="Y227" s="5" t="s">
        <v>185</v>
      </c>
      <c r="Z227" s="10" t="s">
        <v>337</v>
      </c>
      <c r="AA227" s="5" t="s">
        <v>521</v>
      </c>
    </row>
    <row r="228" spans="1:28" x14ac:dyDescent="0.2">
      <c r="A228" s="5">
        <v>107008</v>
      </c>
      <c r="B228" s="5" t="s">
        <v>973</v>
      </c>
      <c r="C228" s="5">
        <v>165</v>
      </c>
      <c r="D228" s="5">
        <v>211</v>
      </c>
      <c r="E228" s="5">
        <v>49</v>
      </c>
      <c r="F228" s="5">
        <v>61</v>
      </c>
      <c r="G228" s="5">
        <v>23</v>
      </c>
      <c r="H228" s="5">
        <v>51</v>
      </c>
      <c r="I228" s="5">
        <v>54</v>
      </c>
      <c r="J228" s="5">
        <f>SUM(E228:I228)</f>
        <v>238</v>
      </c>
      <c r="K228" s="5">
        <v>300</v>
      </c>
      <c r="L228" s="5">
        <v>7</v>
      </c>
      <c r="M228" s="5" t="s">
        <v>633</v>
      </c>
      <c r="N228" s="5">
        <v>10</v>
      </c>
      <c r="O228" s="5">
        <v>17</v>
      </c>
      <c r="P228" s="5"/>
      <c r="Q228" s="5"/>
      <c r="R228" s="5">
        <f>MAX(25, INT(POWER(2.2,J228/45)))</f>
        <v>64</v>
      </c>
      <c r="S228" s="5">
        <v>0</v>
      </c>
      <c r="T228" s="5">
        <v>1</v>
      </c>
      <c r="U228" s="5" t="s">
        <v>298</v>
      </c>
      <c r="V228" s="5"/>
      <c r="W228" s="5"/>
      <c r="X228" s="5"/>
      <c r="Y228" s="5" t="s">
        <v>185</v>
      </c>
      <c r="Z228" s="10" t="s">
        <v>337</v>
      </c>
      <c r="AA228" s="5" t="s">
        <v>934</v>
      </c>
    </row>
    <row r="229" spans="1:28" x14ac:dyDescent="0.2">
      <c r="A229" s="5">
        <v>107009</v>
      </c>
      <c r="B229" s="5" t="s">
        <v>935</v>
      </c>
      <c r="C229" s="5">
        <v>168</v>
      </c>
      <c r="D229" s="5">
        <v>208</v>
      </c>
      <c r="E229" s="5">
        <v>67</v>
      </c>
      <c r="F229" s="5">
        <v>74</v>
      </c>
      <c r="G229" s="5">
        <v>46</v>
      </c>
      <c r="H229" s="5">
        <v>42</v>
      </c>
      <c r="I229" s="5">
        <v>53</v>
      </c>
      <c r="J229" s="5">
        <f>SUM(E229:I229)</f>
        <v>282</v>
      </c>
      <c r="K229" s="5">
        <v>300</v>
      </c>
      <c r="L229" s="5">
        <v>7</v>
      </c>
      <c r="M229" s="5" t="s">
        <v>633</v>
      </c>
      <c r="N229" s="5">
        <v>10</v>
      </c>
      <c r="O229" s="5">
        <v>17</v>
      </c>
      <c r="P229" s="5"/>
      <c r="Q229" s="5"/>
      <c r="R229" s="5">
        <f>MAX(25, INT(POWER(2.2,J229/45)))</f>
        <v>139</v>
      </c>
      <c r="S229" s="5">
        <v>0</v>
      </c>
      <c r="T229" s="5">
        <v>1</v>
      </c>
      <c r="U229" s="5" t="s">
        <v>298</v>
      </c>
      <c r="V229" s="5"/>
      <c r="W229" s="5"/>
      <c r="X229" s="5"/>
      <c r="Y229" s="5" t="s">
        <v>185</v>
      </c>
      <c r="Z229" s="10" t="s">
        <v>337</v>
      </c>
      <c r="AA229" s="5" t="s">
        <v>936</v>
      </c>
    </row>
    <row r="230" spans="1:28" x14ac:dyDescent="0.2">
      <c r="A230" s="5">
        <v>107010</v>
      </c>
      <c r="B230" s="5" t="s">
        <v>629</v>
      </c>
      <c r="C230" s="5">
        <v>168</v>
      </c>
      <c r="D230" s="5">
        <v>223</v>
      </c>
      <c r="E230" s="5">
        <v>29</v>
      </c>
      <c r="F230" s="5">
        <v>24</v>
      </c>
      <c r="G230" s="5">
        <v>80</v>
      </c>
      <c r="H230" s="5">
        <v>86</v>
      </c>
      <c r="I230" s="5">
        <v>84</v>
      </c>
      <c r="J230" s="5">
        <f>SUM(E230:I230)</f>
        <v>303</v>
      </c>
      <c r="K230" s="5">
        <v>300</v>
      </c>
      <c r="L230" s="5">
        <v>7</v>
      </c>
      <c r="M230" s="5" t="s">
        <v>634</v>
      </c>
      <c r="N230" s="5">
        <v>10</v>
      </c>
      <c r="O230" s="5">
        <v>17</v>
      </c>
      <c r="P230" s="5"/>
      <c r="Q230" s="5"/>
      <c r="R230" s="5">
        <f>MAX(25, INT(POWER(2.2,J230/45)))</f>
        <v>202</v>
      </c>
      <c r="S230" s="5">
        <v>0</v>
      </c>
      <c r="T230" s="5">
        <v>1</v>
      </c>
      <c r="U230" s="5" t="s">
        <v>298</v>
      </c>
      <c r="V230" s="5"/>
      <c r="W230" s="5"/>
      <c r="X230" s="5"/>
      <c r="Y230" s="5" t="s">
        <v>185</v>
      </c>
      <c r="Z230" s="10" t="s">
        <v>337</v>
      </c>
      <c r="AA230" s="5" t="s">
        <v>855</v>
      </c>
    </row>
    <row r="231" spans="1:28" x14ac:dyDescent="0.2">
      <c r="A231" s="5">
        <v>107011</v>
      </c>
      <c r="B231" s="5" t="s">
        <v>976</v>
      </c>
      <c r="C231" s="5">
        <v>168</v>
      </c>
      <c r="D231" s="5">
        <v>210</v>
      </c>
      <c r="E231" s="5">
        <v>72</v>
      </c>
      <c r="F231" s="5">
        <v>67</v>
      </c>
      <c r="G231" s="5">
        <v>42</v>
      </c>
      <c r="H231" s="5">
        <v>56</v>
      </c>
      <c r="I231" s="5">
        <v>48</v>
      </c>
      <c r="J231" s="5">
        <f>SUM(E231:I231)</f>
        <v>285</v>
      </c>
      <c r="K231" s="5">
        <v>300</v>
      </c>
      <c r="L231" s="5">
        <v>7</v>
      </c>
      <c r="M231" s="5" t="s">
        <v>630</v>
      </c>
      <c r="N231" s="5">
        <v>10</v>
      </c>
      <c r="O231" s="5">
        <v>17</v>
      </c>
      <c r="P231" s="5"/>
      <c r="Q231" s="5"/>
      <c r="R231" s="5">
        <f>MAX(25, INT(POWER(2.2,J231/45)))</f>
        <v>147</v>
      </c>
      <c r="S231" s="5">
        <v>0</v>
      </c>
      <c r="T231" s="5">
        <v>1</v>
      </c>
      <c r="U231" s="5" t="s">
        <v>298</v>
      </c>
      <c r="V231" s="5"/>
      <c r="W231" s="5"/>
      <c r="X231" s="5"/>
      <c r="Y231" s="5" t="s">
        <v>185</v>
      </c>
      <c r="Z231" s="10" t="s">
        <v>337</v>
      </c>
      <c r="AA231" s="5" t="s">
        <v>907</v>
      </c>
    </row>
    <row r="232" spans="1:28" x14ac:dyDescent="0.2">
      <c r="A232" s="5">
        <v>107012</v>
      </c>
      <c r="B232" s="5" t="s">
        <v>978</v>
      </c>
      <c r="C232" s="5">
        <v>162</v>
      </c>
      <c r="D232" s="5">
        <v>203</v>
      </c>
      <c r="E232" s="5">
        <v>68</v>
      </c>
      <c r="F232" s="5">
        <v>33</v>
      </c>
      <c r="G232" s="5">
        <v>88</v>
      </c>
      <c r="H232" s="5">
        <v>83</v>
      </c>
      <c r="I232" s="5">
        <v>71</v>
      </c>
      <c r="J232" s="5">
        <f>SUM(E232:I232)</f>
        <v>343</v>
      </c>
      <c r="K232" s="5">
        <v>300</v>
      </c>
      <c r="L232" s="5">
        <v>7</v>
      </c>
      <c r="M232" s="5" t="s">
        <v>630</v>
      </c>
      <c r="N232" s="5">
        <v>10</v>
      </c>
      <c r="O232" s="5">
        <v>17</v>
      </c>
      <c r="P232" s="5"/>
      <c r="Q232" s="5"/>
      <c r="R232" s="5">
        <f>MAX(25, INT(POWER(2.2,J232/45)))</f>
        <v>407</v>
      </c>
      <c r="S232" s="5">
        <v>0</v>
      </c>
      <c r="T232" s="5">
        <v>1</v>
      </c>
      <c r="U232" s="5" t="s">
        <v>298</v>
      </c>
      <c r="V232" s="5"/>
      <c r="W232" s="5"/>
      <c r="X232" s="5"/>
      <c r="Y232" s="5" t="s">
        <v>185</v>
      </c>
      <c r="Z232" s="10" t="s">
        <v>337</v>
      </c>
      <c r="AA232" s="5" t="s">
        <v>810</v>
      </c>
    </row>
    <row r="233" spans="1:28" x14ac:dyDescent="0.2">
      <c r="A233" s="5">
        <v>107013</v>
      </c>
      <c r="B233" s="5" t="s">
        <v>977</v>
      </c>
      <c r="C233" s="5">
        <v>163</v>
      </c>
      <c r="D233" s="5">
        <v>214</v>
      </c>
      <c r="E233" s="5">
        <v>47</v>
      </c>
      <c r="F233" s="5">
        <v>27</v>
      </c>
      <c r="G233" s="5">
        <v>82</v>
      </c>
      <c r="H233" s="5">
        <v>89</v>
      </c>
      <c r="I233" s="5">
        <v>73</v>
      </c>
      <c r="J233" s="5">
        <f>SUM(E233:I233)</f>
        <v>318</v>
      </c>
      <c r="K233" s="5">
        <v>300</v>
      </c>
      <c r="L233" s="5">
        <v>7</v>
      </c>
      <c r="M233" s="5" t="s">
        <v>630</v>
      </c>
      <c r="N233" s="5">
        <v>10</v>
      </c>
      <c r="O233" s="5">
        <v>17</v>
      </c>
      <c r="P233" s="5"/>
      <c r="Q233" s="5"/>
      <c r="R233" s="5">
        <f>MAX(25, INT(POWER(2.2,J233/45)))</f>
        <v>262</v>
      </c>
      <c r="S233" s="5">
        <v>0</v>
      </c>
      <c r="T233" s="5">
        <v>1</v>
      </c>
      <c r="U233" s="5" t="s">
        <v>298</v>
      </c>
      <c r="V233" s="5"/>
      <c r="W233" s="5"/>
      <c r="X233" s="5"/>
      <c r="Y233" s="5" t="s">
        <v>185</v>
      </c>
      <c r="Z233" s="10" t="s">
        <v>337</v>
      </c>
      <c r="AA233" s="5" t="s">
        <v>811</v>
      </c>
    </row>
    <row r="234" spans="1:28" x14ac:dyDescent="0.2">
      <c r="A234" s="5">
        <v>107015</v>
      </c>
      <c r="B234" s="5" t="s">
        <v>983</v>
      </c>
      <c r="C234" s="5">
        <v>171</v>
      </c>
      <c r="D234" s="5">
        <v>209</v>
      </c>
      <c r="E234" s="5">
        <v>49</v>
      </c>
      <c r="F234" s="5">
        <v>11</v>
      </c>
      <c r="G234" s="5">
        <v>58</v>
      </c>
      <c r="H234" s="5">
        <v>68</v>
      </c>
      <c r="I234" s="5">
        <v>69</v>
      </c>
      <c r="J234" s="5">
        <f>SUM(E234:I234)</f>
        <v>255</v>
      </c>
      <c r="K234" s="5">
        <v>300</v>
      </c>
      <c r="L234" s="5">
        <v>7</v>
      </c>
      <c r="M234" s="5" t="s">
        <v>630</v>
      </c>
      <c r="N234" s="5">
        <v>10</v>
      </c>
      <c r="O234" s="5">
        <v>17</v>
      </c>
      <c r="P234" s="5"/>
      <c r="Q234" s="5"/>
      <c r="R234" s="5">
        <f>MAX(25, INT(POWER(2.2,J234/45)))</f>
        <v>87</v>
      </c>
      <c r="S234" s="5">
        <v>0</v>
      </c>
      <c r="T234" s="5">
        <v>1</v>
      </c>
      <c r="U234" s="5" t="s">
        <v>298</v>
      </c>
      <c r="V234" s="5"/>
      <c r="W234" s="5"/>
      <c r="X234" s="5"/>
      <c r="Y234" s="5" t="s">
        <v>185</v>
      </c>
      <c r="Z234" s="10" t="s">
        <v>337</v>
      </c>
      <c r="AA234" s="5" t="s">
        <v>812</v>
      </c>
    </row>
    <row r="235" spans="1:28" x14ac:dyDescent="0.2">
      <c r="A235" s="5">
        <v>107016</v>
      </c>
      <c r="B235" s="5" t="s">
        <v>982</v>
      </c>
      <c r="C235" s="5">
        <v>170</v>
      </c>
      <c r="D235" s="5">
        <v>208</v>
      </c>
      <c r="E235" s="5">
        <v>39</v>
      </c>
      <c r="F235" s="5">
        <v>52</v>
      </c>
      <c r="G235" s="5">
        <v>1</v>
      </c>
      <c r="H235" s="5">
        <v>21</v>
      </c>
      <c r="I235" s="5">
        <v>42</v>
      </c>
      <c r="J235" s="5">
        <f>SUM(E235:I235)</f>
        <v>155</v>
      </c>
      <c r="K235" s="5">
        <v>300</v>
      </c>
      <c r="L235" s="5">
        <v>7</v>
      </c>
      <c r="M235" s="5" t="s">
        <v>630</v>
      </c>
      <c r="N235" s="5">
        <v>10</v>
      </c>
      <c r="O235" s="5">
        <v>17</v>
      </c>
      <c r="P235" s="5"/>
      <c r="Q235" s="5"/>
      <c r="R235" s="5">
        <f>MAX(25, INT(POWER(2.2,J235/45)))</f>
        <v>25</v>
      </c>
      <c r="S235" s="5">
        <v>0</v>
      </c>
      <c r="T235" s="5">
        <v>1</v>
      </c>
      <c r="U235" s="5" t="s">
        <v>298</v>
      </c>
      <c r="V235" s="5"/>
      <c r="W235" s="5"/>
      <c r="X235" s="5"/>
      <c r="Y235" s="5" t="s">
        <v>185</v>
      </c>
      <c r="Z235" s="10" t="s">
        <v>337</v>
      </c>
      <c r="AA235" s="5" t="s">
        <v>813</v>
      </c>
      <c r="AB235" s="5"/>
    </row>
    <row r="236" spans="1:28" x14ac:dyDescent="0.2">
      <c r="A236" s="5">
        <v>107017</v>
      </c>
      <c r="B236" s="5" t="s">
        <v>981</v>
      </c>
      <c r="C236" s="5">
        <v>165</v>
      </c>
      <c r="D236" s="5">
        <v>208</v>
      </c>
      <c r="E236" s="5">
        <v>8</v>
      </c>
      <c r="F236" s="5">
        <v>7</v>
      </c>
      <c r="G236" s="5">
        <v>69</v>
      </c>
      <c r="H236" s="5">
        <v>58</v>
      </c>
      <c r="I236" s="5">
        <v>66</v>
      </c>
      <c r="J236" s="5">
        <f>SUM(E236:I236)</f>
        <v>208</v>
      </c>
      <c r="K236" s="5">
        <v>300</v>
      </c>
      <c r="L236" s="5">
        <v>7</v>
      </c>
      <c r="M236" s="5" t="s">
        <v>630</v>
      </c>
      <c r="N236" s="5">
        <v>10</v>
      </c>
      <c r="O236" s="5">
        <v>17</v>
      </c>
      <c r="P236" s="5"/>
      <c r="Q236" s="5"/>
      <c r="R236" s="5">
        <f>MAX(25, INT(POWER(2.2,J236/45)))</f>
        <v>38</v>
      </c>
      <c r="S236" s="5">
        <v>0</v>
      </c>
      <c r="T236" s="5">
        <v>1</v>
      </c>
      <c r="U236" s="5" t="s">
        <v>298</v>
      </c>
      <c r="V236" s="5"/>
      <c r="W236" s="5"/>
      <c r="X236" s="5"/>
      <c r="Y236" s="5" t="s">
        <v>185</v>
      </c>
      <c r="Z236" s="10" t="s">
        <v>337</v>
      </c>
      <c r="AA236" s="5" t="s">
        <v>816</v>
      </c>
    </row>
    <row r="237" spans="1:28" x14ac:dyDescent="0.2">
      <c r="A237" s="5">
        <v>107018</v>
      </c>
      <c r="B237" s="5" t="s">
        <v>980</v>
      </c>
      <c r="C237" s="5">
        <v>172</v>
      </c>
      <c r="D237" s="5">
        <v>208</v>
      </c>
      <c r="E237" s="5">
        <v>38</v>
      </c>
      <c r="F237" s="5">
        <v>49</v>
      </c>
      <c r="G237" s="5">
        <v>1</v>
      </c>
      <c r="H237" s="5">
        <v>25</v>
      </c>
      <c r="I237" s="5">
        <v>44</v>
      </c>
      <c r="J237" s="5">
        <f>SUM(E237:I237)</f>
        <v>157</v>
      </c>
      <c r="K237" s="5">
        <v>300</v>
      </c>
      <c r="L237" s="5">
        <v>7</v>
      </c>
      <c r="M237" s="5" t="s">
        <v>630</v>
      </c>
      <c r="N237" s="5">
        <v>10</v>
      </c>
      <c r="O237" s="5">
        <v>17</v>
      </c>
      <c r="P237" s="5"/>
      <c r="Q237" s="5"/>
      <c r="R237" s="5">
        <f>MAX(25, INT(POWER(2.2,J237/45)))</f>
        <v>25</v>
      </c>
      <c r="S237" s="5">
        <v>0</v>
      </c>
      <c r="T237" s="5">
        <v>1</v>
      </c>
      <c r="U237" s="5" t="s">
        <v>298</v>
      </c>
      <c r="V237" s="5"/>
      <c r="W237" s="5"/>
      <c r="X237" s="5"/>
      <c r="Y237" s="5" t="s">
        <v>185</v>
      </c>
      <c r="Z237" s="10" t="s">
        <v>337</v>
      </c>
      <c r="AA237" s="5" t="s">
        <v>814</v>
      </c>
    </row>
    <row r="238" spans="1:28" x14ac:dyDescent="0.2">
      <c r="A238" s="5">
        <v>107019</v>
      </c>
      <c r="B238" s="5" t="s">
        <v>979</v>
      </c>
      <c r="C238" s="5">
        <v>155</v>
      </c>
      <c r="D238" s="5">
        <v>208</v>
      </c>
      <c r="E238" s="5">
        <v>77</v>
      </c>
      <c r="F238" s="5">
        <v>70</v>
      </c>
      <c r="G238" s="5">
        <v>77</v>
      </c>
      <c r="H238" s="5">
        <v>72</v>
      </c>
      <c r="I238" s="5">
        <v>62</v>
      </c>
      <c r="J238" s="5">
        <f>SUM(E238:I238)</f>
        <v>358</v>
      </c>
      <c r="K238" s="5">
        <v>300</v>
      </c>
      <c r="L238" s="5">
        <v>7</v>
      </c>
      <c r="M238" s="5" t="s">
        <v>630</v>
      </c>
      <c r="N238" s="5">
        <v>10</v>
      </c>
      <c r="O238" s="5">
        <v>17</v>
      </c>
      <c r="P238" s="5"/>
      <c r="Q238" s="5"/>
      <c r="R238" s="5">
        <f>MAX(25, INT(POWER(2.2,J238/45)))</f>
        <v>529</v>
      </c>
      <c r="S238" s="5">
        <v>0</v>
      </c>
      <c r="T238" s="5">
        <v>1</v>
      </c>
      <c r="U238" s="5" t="s">
        <v>298</v>
      </c>
      <c r="V238" s="5"/>
      <c r="W238" s="5"/>
      <c r="X238" s="5"/>
      <c r="Y238" s="5" t="s">
        <v>185</v>
      </c>
      <c r="Z238" s="10" t="s">
        <v>337</v>
      </c>
      <c r="AA238" s="5" t="s">
        <v>815</v>
      </c>
    </row>
    <row r="239" spans="1:28" x14ac:dyDescent="0.2">
      <c r="A239" s="13">
        <v>100008</v>
      </c>
      <c r="B239" s="13" t="s">
        <v>568</v>
      </c>
      <c r="C239" s="13">
        <v>165</v>
      </c>
      <c r="D239" s="13">
        <v>221</v>
      </c>
      <c r="E239" s="5">
        <v>15</v>
      </c>
      <c r="F239" s="5">
        <v>4</v>
      </c>
      <c r="G239" s="5">
        <v>8</v>
      </c>
      <c r="H239" s="5">
        <v>37</v>
      </c>
      <c r="I239" s="5">
        <v>64</v>
      </c>
      <c r="J239" s="5">
        <f>SUM(E239:I239)</f>
        <v>128</v>
      </c>
      <c r="K239" s="5">
        <v>310</v>
      </c>
      <c r="L239" s="5">
        <v>8</v>
      </c>
      <c r="M239" s="5" t="s">
        <v>697</v>
      </c>
      <c r="N239" s="5">
        <v>10</v>
      </c>
      <c r="O239" s="5">
        <v>17</v>
      </c>
      <c r="P239" s="5"/>
      <c r="Q239" s="5"/>
      <c r="R239" s="5">
        <v>0</v>
      </c>
      <c r="S239" s="5">
        <v>0</v>
      </c>
      <c r="T239" s="5">
        <v>1</v>
      </c>
      <c r="U239" s="5" t="s">
        <v>284</v>
      </c>
      <c r="V239" s="5"/>
      <c r="W239" s="5"/>
      <c r="X239" s="5"/>
      <c r="Y239" s="5" t="s">
        <v>184</v>
      </c>
      <c r="Z239" s="10" t="s">
        <v>71</v>
      </c>
      <c r="AA239" s="5" t="s">
        <v>572</v>
      </c>
    </row>
    <row r="240" spans="1:28" x14ac:dyDescent="0.2">
      <c r="A240" s="5">
        <v>108001</v>
      </c>
      <c r="B240" s="5" t="s">
        <v>26</v>
      </c>
      <c r="C240" s="5">
        <v>158</v>
      </c>
      <c r="D240" s="5">
        <v>214</v>
      </c>
      <c r="E240" s="5">
        <v>79</v>
      </c>
      <c r="F240" s="5">
        <v>83</v>
      </c>
      <c r="G240" s="5">
        <v>69</v>
      </c>
      <c r="H240" s="5">
        <v>64</v>
      </c>
      <c r="I240" s="5">
        <v>79</v>
      </c>
      <c r="J240" s="5">
        <f>SUM(E240:I240)</f>
        <v>374</v>
      </c>
      <c r="K240" s="5">
        <v>280</v>
      </c>
      <c r="L240" s="5">
        <v>8</v>
      </c>
      <c r="M240" s="5" t="s">
        <v>698</v>
      </c>
      <c r="N240" s="5">
        <v>10</v>
      </c>
      <c r="O240" s="5">
        <v>17</v>
      </c>
      <c r="P240" s="5"/>
      <c r="Q240" s="5"/>
      <c r="R240" s="5">
        <f>MAX(25, INT(POWER(2.2,J240/45)))</f>
        <v>701</v>
      </c>
      <c r="S240" s="5">
        <v>0</v>
      </c>
      <c r="T240" s="5">
        <v>1</v>
      </c>
      <c r="U240" s="5" t="s">
        <v>285</v>
      </c>
      <c r="V240" s="5"/>
      <c r="W240" s="5" t="s">
        <v>366</v>
      </c>
      <c r="X240" s="5"/>
      <c r="Y240" s="5" t="s">
        <v>185</v>
      </c>
      <c r="Z240" s="10" t="s">
        <v>330</v>
      </c>
      <c r="AA240" s="5" t="s">
        <v>421</v>
      </c>
    </row>
    <row r="241" spans="1:28" x14ac:dyDescent="0.2">
      <c r="A241" s="5">
        <v>108002</v>
      </c>
      <c r="B241" s="5" t="s">
        <v>59</v>
      </c>
      <c r="C241" s="5">
        <v>171</v>
      </c>
      <c r="D241" s="5">
        <v>234</v>
      </c>
      <c r="E241" s="5">
        <v>82</v>
      </c>
      <c r="F241" s="5">
        <v>83</v>
      </c>
      <c r="G241" s="5">
        <v>75</v>
      </c>
      <c r="H241" s="5">
        <v>80</v>
      </c>
      <c r="I241" s="5">
        <v>70</v>
      </c>
      <c r="J241" s="5">
        <f>SUM(E241:I241)</f>
        <v>390</v>
      </c>
      <c r="K241" s="5">
        <v>290</v>
      </c>
      <c r="L241" s="5">
        <v>8</v>
      </c>
      <c r="M241" s="5" t="s">
        <v>698</v>
      </c>
      <c r="N241" s="5">
        <v>10</v>
      </c>
      <c r="O241" s="5">
        <v>17</v>
      </c>
      <c r="P241" s="5"/>
      <c r="Q241" s="5"/>
      <c r="R241" s="5">
        <f>MAX(25, INT(POWER(2.2,J241/45)))</f>
        <v>928</v>
      </c>
      <c r="S241" s="5">
        <v>0</v>
      </c>
      <c r="T241" s="5">
        <v>1</v>
      </c>
      <c r="U241" s="5" t="s">
        <v>285</v>
      </c>
      <c r="V241" s="5"/>
      <c r="W241" s="5" t="s">
        <v>350</v>
      </c>
      <c r="Y241" s="5" t="s">
        <v>185</v>
      </c>
      <c r="Z241" s="10" t="s">
        <v>71</v>
      </c>
      <c r="AA241" s="5" t="s">
        <v>425</v>
      </c>
    </row>
    <row r="242" spans="1:28" x14ac:dyDescent="0.2">
      <c r="A242" s="5">
        <v>108003</v>
      </c>
      <c r="B242" s="5" t="s">
        <v>73</v>
      </c>
      <c r="C242" s="5">
        <v>165</v>
      </c>
      <c r="D242" s="5">
        <v>212</v>
      </c>
      <c r="E242" s="5">
        <v>15</v>
      </c>
      <c r="F242" s="5">
        <v>6</v>
      </c>
      <c r="G242" s="5">
        <v>88</v>
      </c>
      <c r="H242" s="5">
        <v>83</v>
      </c>
      <c r="I242" s="5">
        <v>19</v>
      </c>
      <c r="J242" s="5">
        <f>SUM(E242:I242)</f>
        <v>211</v>
      </c>
      <c r="K242" s="5">
        <v>240</v>
      </c>
      <c r="L242" s="5">
        <v>8</v>
      </c>
      <c r="M242" s="5" t="s">
        <v>697</v>
      </c>
      <c r="N242" s="5">
        <v>10</v>
      </c>
      <c r="O242" s="5">
        <v>17</v>
      </c>
      <c r="P242" s="5">
        <v>15</v>
      </c>
      <c r="Q242" s="5"/>
      <c r="R242" s="5">
        <f>MAX(25, INT(POWER(2.2,J242/45)))</f>
        <v>40</v>
      </c>
      <c r="S242" s="5">
        <v>0</v>
      </c>
      <c r="T242" s="5">
        <v>3</v>
      </c>
      <c r="U242" s="5" t="s">
        <v>293</v>
      </c>
      <c r="V242" s="5"/>
      <c r="W242" s="5"/>
      <c r="Y242" s="5" t="s">
        <v>188</v>
      </c>
      <c r="Z242" s="10" t="s">
        <v>332</v>
      </c>
      <c r="AA242" s="5" t="s">
        <v>427</v>
      </c>
      <c r="AB242" t="e">
        <f>COUNTIF([1]Sheet1!#REF!, "*"&amp; A242&amp;"*")</f>
        <v>#REF!</v>
      </c>
    </row>
    <row r="243" spans="1:28" x14ac:dyDescent="0.2">
      <c r="A243" s="5">
        <v>108004</v>
      </c>
      <c r="B243" s="5" t="s">
        <v>91</v>
      </c>
      <c r="C243" s="5">
        <v>185</v>
      </c>
      <c r="D243" s="5">
        <v>246</v>
      </c>
      <c r="E243" s="5">
        <v>67</v>
      </c>
      <c r="F243" s="5">
        <v>65</v>
      </c>
      <c r="G243" s="5">
        <v>85</v>
      </c>
      <c r="H243" s="5">
        <v>88</v>
      </c>
      <c r="I243" s="5">
        <v>83</v>
      </c>
      <c r="J243" s="5">
        <f>SUM(E243:I243)</f>
        <v>388</v>
      </c>
      <c r="K243" s="5">
        <v>280</v>
      </c>
      <c r="L243" s="5">
        <v>8</v>
      </c>
      <c r="M243" s="5" t="s">
        <v>695</v>
      </c>
      <c r="N243" s="5">
        <v>10</v>
      </c>
      <c r="O243" s="5">
        <v>17</v>
      </c>
      <c r="P243" s="5">
        <v>15</v>
      </c>
      <c r="Q243" s="5"/>
      <c r="R243" s="5">
        <f>MAX(25, INT(POWER(2.2,J243/45)))</f>
        <v>896</v>
      </c>
      <c r="S243" s="5">
        <v>0</v>
      </c>
      <c r="T243" s="5">
        <v>3</v>
      </c>
      <c r="U243" s="5" t="s">
        <v>293</v>
      </c>
      <c r="V243" s="5"/>
      <c r="W243" s="5" t="s">
        <v>321</v>
      </c>
      <c r="X243" s="5"/>
      <c r="Y243" s="5" t="s">
        <v>188</v>
      </c>
      <c r="Z243" s="10" t="s">
        <v>332</v>
      </c>
      <c r="AA243" s="5" t="s">
        <v>434</v>
      </c>
      <c r="AB243" t="e">
        <f>COUNTIF([1]Sheet1!#REF!, "*"&amp; A243&amp;"*")</f>
        <v>#REF!</v>
      </c>
    </row>
    <row r="244" spans="1:28" x14ac:dyDescent="0.2">
      <c r="A244" s="5">
        <v>108005</v>
      </c>
      <c r="B244" s="5" t="s">
        <v>57</v>
      </c>
      <c r="C244" s="5">
        <v>175</v>
      </c>
      <c r="D244" s="5">
        <v>225</v>
      </c>
      <c r="E244" s="5">
        <v>87</v>
      </c>
      <c r="F244" s="5">
        <v>87</v>
      </c>
      <c r="G244" s="5">
        <v>51</v>
      </c>
      <c r="H244" s="5">
        <v>55</v>
      </c>
      <c r="I244" s="5">
        <v>75</v>
      </c>
      <c r="J244" s="5">
        <f>SUM(E244:I244)</f>
        <v>355</v>
      </c>
      <c r="K244" s="5">
        <v>310</v>
      </c>
      <c r="L244" s="5">
        <v>8</v>
      </c>
      <c r="M244" s="5" t="s">
        <v>699</v>
      </c>
      <c r="N244" s="5">
        <v>10</v>
      </c>
      <c r="O244" s="5">
        <v>17</v>
      </c>
      <c r="P244" s="5"/>
      <c r="Q244" s="5"/>
      <c r="R244" s="5">
        <f>MAX(25, INT(POWER(2.2,J244/45)))</f>
        <v>502</v>
      </c>
      <c r="S244" s="5">
        <v>0</v>
      </c>
      <c r="T244" s="5">
        <v>1</v>
      </c>
      <c r="U244" s="5" t="s">
        <v>297</v>
      </c>
      <c r="V244" s="5"/>
      <c r="W244" s="5" t="s">
        <v>260</v>
      </c>
      <c r="X244" s="5"/>
      <c r="Y244" s="5" t="s">
        <v>186</v>
      </c>
      <c r="Z244" s="10" t="s">
        <v>71</v>
      </c>
      <c r="AA244" s="5" t="s">
        <v>423</v>
      </c>
      <c r="AB244" t="e">
        <f>COUNTIF([1]Sheet1!#REF!, "*"&amp; A244&amp;"*")</f>
        <v>#REF!</v>
      </c>
    </row>
    <row r="245" spans="1:28" x14ac:dyDescent="0.2">
      <c r="A245" s="5">
        <v>108006</v>
      </c>
      <c r="B245" s="5" t="s">
        <v>112</v>
      </c>
      <c r="C245" s="5">
        <v>180</v>
      </c>
      <c r="D245" s="5">
        <v>225</v>
      </c>
      <c r="E245" s="5">
        <v>77</v>
      </c>
      <c r="F245" s="5">
        <v>85</v>
      </c>
      <c r="G245" s="5">
        <v>43</v>
      </c>
      <c r="H245" s="5">
        <v>50</v>
      </c>
      <c r="I245" s="5">
        <v>78</v>
      </c>
      <c r="J245" s="5">
        <f>SUM(E245:I245)</f>
        <v>333</v>
      </c>
      <c r="K245" s="5">
        <v>290</v>
      </c>
      <c r="L245" s="5">
        <v>8</v>
      </c>
      <c r="M245" s="5" t="s">
        <v>699</v>
      </c>
      <c r="N245" s="5">
        <v>10</v>
      </c>
      <c r="O245" s="5">
        <v>17</v>
      </c>
      <c r="P245" s="5"/>
      <c r="Q245" s="5"/>
      <c r="R245" s="5">
        <f>MAX(25, INT(POWER(2.2,J245/45)))</f>
        <v>341</v>
      </c>
      <c r="S245" s="5">
        <v>0</v>
      </c>
      <c r="T245" s="5">
        <v>1</v>
      </c>
      <c r="U245" s="5" t="s">
        <v>297</v>
      </c>
      <c r="V245" s="5"/>
      <c r="W245" s="5" t="s">
        <v>260</v>
      </c>
      <c r="X245" s="5"/>
      <c r="Y245" s="5" t="s">
        <v>185</v>
      </c>
      <c r="Z245" s="10" t="s">
        <v>71</v>
      </c>
      <c r="AA245" s="5" t="s">
        <v>442</v>
      </c>
      <c r="AB245" t="e">
        <f>COUNTIF([1]Sheet1!#REF!, "*"&amp; A245&amp;"*")</f>
        <v>#REF!</v>
      </c>
    </row>
    <row r="246" spans="1:28" x14ac:dyDescent="0.2">
      <c r="A246" s="5">
        <v>108007</v>
      </c>
      <c r="B246" s="5" t="s">
        <v>683</v>
      </c>
      <c r="C246" s="5">
        <v>176</v>
      </c>
      <c r="D246" s="5">
        <v>220</v>
      </c>
      <c r="E246" s="5">
        <v>83</v>
      </c>
      <c r="F246" s="5">
        <v>52</v>
      </c>
      <c r="G246" s="5">
        <v>94</v>
      </c>
      <c r="H246" s="5">
        <v>79</v>
      </c>
      <c r="I246" s="5">
        <v>55</v>
      </c>
      <c r="J246" s="5">
        <f>SUM(E246:I246)</f>
        <v>363</v>
      </c>
      <c r="K246" s="5">
        <v>275</v>
      </c>
      <c r="L246" s="5">
        <v>8</v>
      </c>
      <c r="M246" s="5" t="s">
        <v>695</v>
      </c>
      <c r="N246" s="5">
        <v>10</v>
      </c>
      <c r="O246" s="5">
        <v>17</v>
      </c>
      <c r="P246" s="5">
        <v>15</v>
      </c>
      <c r="Q246" s="5"/>
      <c r="R246" s="5">
        <f>MAX(25, INT(POWER(2.2,J246/45)))</f>
        <v>578</v>
      </c>
      <c r="S246" s="5">
        <v>0</v>
      </c>
      <c r="T246" s="5">
        <v>3</v>
      </c>
      <c r="U246" s="5" t="s">
        <v>291</v>
      </c>
      <c r="V246" s="5"/>
      <c r="W246" s="12" t="s">
        <v>398</v>
      </c>
      <c r="X246" s="5"/>
      <c r="Y246" s="5" t="s">
        <v>188</v>
      </c>
      <c r="Z246" s="10" t="s">
        <v>169</v>
      </c>
      <c r="AA246" s="5" t="s">
        <v>440</v>
      </c>
      <c r="AB246" t="e">
        <f>COUNTIF([1]Sheet1!#REF!, "*"&amp; A246&amp;"*")</f>
        <v>#REF!</v>
      </c>
    </row>
    <row r="247" spans="1:28" x14ac:dyDescent="0.2">
      <c r="A247" s="5">
        <v>108008</v>
      </c>
      <c r="B247" s="5" t="s">
        <v>138</v>
      </c>
      <c r="C247" s="5">
        <v>171</v>
      </c>
      <c r="D247" s="5">
        <v>240</v>
      </c>
      <c r="E247" s="5">
        <v>75</v>
      </c>
      <c r="F247" s="5">
        <v>59</v>
      </c>
      <c r="G247" s="5">
        <v>82</v>
      </c>
      <c r="H247" s="5">
        <v>81</v>
      </c>
      <c r="I247" s="5">
        <v>78</v>
      </c>
      <c r="J247" s="5">
        <f>SUM(E247:I247)</f>
        <v>375</v>
      </c>
      <c r="K247" s="5">
        <v>310</v>
      </c>
      <c r="L247" s="5">
        <v>8</v>
      </c>
      <c r="M247" s="5" t="s">
        <v>698</v>
      </c>
      <c r="N247" s="5">
        <v>10</v>
      </c>
      <c r="O247" s="5">
        <v>17</v>
      </c>
      <c r="P247" s="5"/>
      <c r="Q247" s="5"/>
      <c r="R247" s="5">
        <f>MAX(25, INT(POWER(2.2,J247/45)))</f>
        <v>713</v>
      </c>
      <c r="S247" s="5">
        <v>0</v>
      </c>
      <c r="T247" s="5">
        <v>1</v>
      </c>
      <c r="U247" s="5" t="s">
        <v>288</v>
      </c>
      <c r="V247" s="5"/>
      <c r="W247" t="s">
        <v>382</v>
      </c>
      <c r="X247" s="5"/>
      <c r="Y247" s="5" t="s">
        <v>310</v>
      </c>
      <c r="Z247" s="10" t="s">
        <v>71</v>
      </c>
      <c r="AA247" s="5" t="s">
        <v>443</v>
      </c>
    </row>
    <row r="248" spans="1:28" x14ac:dyDescent="0.2">
      <c r="A248" s="5">
        <v>108009</v>
      </c>
      <c r="B248" s="5" t="s">
        <v>139</v>
      </c>
      <c r="C248" s="5">
        <v>170</v>
      </c>
      <c r="D248" s="5">
        <v>228</v>
      </c>
      <c r="E248" s="5">
        <v>75</v>
      </c>
      <c r="F248" s="5">
        <v>73</v>
      </c>
      <c r="G248" s="5">
        <v>74</v>
      </c>
      <c r="H248" s="5">
        <v>67</v>
      </c>
      <c r="I248" s="5">
        <v>72</v>
      </c>
      <c r="J248" s="5">
        <f>SUM(E248:I248)</f>
        <v>361</v>
      </c>
      <c r="K248" s="5">
        <v>250</v>
      </c>
      <c r="L248" s="5">
        <v>8</v>
      </c>
      <c r="M248" s="5" t="s">
        <v>695</v>
      </c>
      <c r="N248" s="5">
        <v>10</v>
      </c>
      <c r="O248" s="5">
        <v>17</v>
      </c>
      <c r="P248" s="5">
        <v>22</v>
      </c>
      <c r="Q248" s="5">
        <v>1.5</v>
      </c>
      <c r="R248" s="5">
        <f>MAX(25, INT(POWER(2.2,J248/45)))</f>
        <v>558</v>
      </c>
      <c r="S248" s="5">
        <v>0</v>
      </c>
      <c r="T248" s="5">
        <v>3</v>
      </c>
      <c r="U248" s="5" t="s">
        <v>294</v>
      </c>
      <c r="V248" s="5"/>
      <c r="W248" s="5" t="s">
        <v>386</v>
      </c>
      <c r="X248" s="5"/>
      <c r="Y248" s="5" t="s">
        <v>187</v>
      </c>
      <c r="Z248" s="10" t="s">
        <v>166</v>
      </c>
      <c r="AA248" s="5" t="s">
        <v>444</v>
      </c>
    </row>
    <row r="249" spans="1:28" x14ac:dyDescent="0.2">
      <c r="A249" s="5">
        <v>108010</v>
      </c>
      <c r="B249" s="5" t="s">
        <v>243</v>
      </c>
      <c r="C249" s="5">
        <v>174</v>
      </c>
      <c r="D249" s="5">
        <v>231</v>
      </c>
      <c r="E249" s="5">
        <v>79</v>
      </c>
      <c r="F249" s="5">
        <v>65</v>
      </c>
      <c r="G249" s="5">
        <v>79</v>
      </c>
      <c r="H249" s="5">
        <v>81</v>
      </c>
      <c r="I249" s="5">
        <v>78</v>
      </c>
      <c r="J249" s="5">
        <f>SUM(E249:I249)</f>
        <v>382</v>
      </c>
      <c r="K249" s="5">
        <v>315</v>
      </c>
      <c r="L249" s="5">
        <v>8</v>
      </c>
      <c r="M249" s="5" t="s">
        <v>698</v>
      </c>
      <c r="N249" s="5">
        <v>10</v>
      </c>
      <c r="O249" s="5">
        <v>17</v>
      </c>
      <c r="P249" s="5"/>
      <c r="Q249" s="5"/>
      <c r="R249" s="5">
        <f>MAX(25, INT(POWER(2.2,J249/45)))</f>
        <v>806</v>
      </c>
      <c r="S249" s="5">
        <v>0</v>
      </c>
      <c r="T249" s="5">
        <v>1</v>
      </c>
      <c r="U249" s="5" t="s">
        <v>287</v>
      </c>
      <c r="V249" s="5"/>
      <c r="W249" s="5" t="s">
        <v>351</v>
      </c>
      <c r="X249" s="5"/>
      <c r="Y249" s="5" t="s">
        <v>185</v>
      </c>
      <c r="Z249" s="10" t="s">
        <v>71</v>
      </c>
      <c r="AA249" s="5" t="s">
        <v>446</v>
      </c>
    </row>
    <row r="250" spans="1:28" x14ac:dyDescent="0.2">
      <c r="A250" s="5">
        <v>108011</v>
      </c>
      <c r="B250" s="5" t="s">
        <v>250</v>
      </c>
      <c r="C250" s="5">
        <v>169</v>
      </c>
      <c r="D250" s="5">
        <v>214</v>
      </c>
      <c r="E250" s="5">
        <v>88</v>
      </c>
      <c r="F250" s="5">
        <v>84</v>
      </c>
      <c r="G250" s="5">
        <v>78</v>
      </c>
      <c r="H250" s="5">
        <v>59</v>
      </c>
      <c r="I250" s="5">
        <v>76</v>
      </c>
      <c r="J250" s="5">
        <f>SUM(E250:I250)</f>
        <v>385</v>
      </c>
      <c r="K250" s="5">
        <v>210</v>
      </c>
      <c r="L250" s="5">
        <v>8</v>
      </c>
      <c r="M250" s="5" t="s">
        <v>698</v>
      </c>
      <c r="N250" s="5">
        <v>10</v>
      </c>
      <c r="O250" s="5">
        <v>17</v>
      </c>
      <c r="P250" s="5">
        <v>22</v>
      </c>
      <c r="Q250" s="5">
        <v>1.5</v>
      </c>
      <c r="R250" s="5">
        <f>MAX(25, INT(POWER(2.2,J250/45)))</f>
        <v>850</v>
      </c>
      <c r="S250" s="5">
        <v>0</v>
      </c>
      <c r="T250" s="5">
        <v>3</v>
      </c>
      <c r="U250" s="5" t="s">
        <v>294</v>
      </c>
      <c r="V250" s="5"/>
      <c r="W250" s="5" t="s">
        <v>395</v>
      </c>
      <c r="X250" s="5"/>
      <c r="Y250" s="5" t="s">
        <v>187</v>
      </c>
      <c r="Z250" s="10" t="s">
        <v>166</v>
      </c>
      <c r="AA250" s="5" t="s">
        <v>556</v>
      </c>
    </row>
    <row r="251" spans="1:28" x14ac:dyDescent="0.2">
      <c r="A251" s="5">
        <v>108012</v>
      </c>
      <c r="B251" s="5" t="s">
        <v>678</v>
      </c>
      <c r="C251" s="5">
        <v>165</v>
      </c>
      <c r="D251" s="5">
        <v>218</v>
      </c>
      <c r="E251" s="5">
        <v>69</v>
      </c>
      <c r="F251" s="5">
        <v>78</v>
      </c>
      <c r="G251" s="5">
        <v>51</v>
      </c>
      <c r="H251" s="5">
        <v>37</v>
      </c>
      <c r="I251" s="5">
        <v>53</v>
      </c>
      <c r="J251" s="5">
        <f>SUM(E251:I251)</f>
        <v>288</v>
      </c>
      <c r="K251" s="5">
        <v>250</v>
      </c>
      <c r="L251" s="5">
        <v>8</v>
      </c>
      <c r="M251" s="5" t="s">
        <v>696</v>
      </c>
      <c r="N251" s="5">
        <v>10</v>
      </c>
      <c r="O251" s="5">
        <v>17</v>
      </c>
      <c r="P251" s="5"/>
      <c r="Q251" s="5"/>
      <c r="R251" s="5">
        <f>MAX(25, INT(POWER(2.2,J251/45)))</f>
        <v>155</v>
      </c>
      <c r="S251" s="5">
        <v>0</v>
      </c>
      <c r="T251" s="5">
        <v>1</v>
      </c>
      <c r="U251" s="5" t="s">
        <v>298</v>
      </c>
      <c r="V251" s="5"/>
      <c r="W251" s="5"/>
      <c r="X251" s="5"/>
      <c r="Y251" s="5" t="s">
        <v>185</v>
      </c>
      <c r="Z251" s="10" t="s">
        <v>337</v>
      </c>
      <c r="AA251" s="5" t="s">
        <v>902</v>
      </c>
    </row>
    <row r="252" spans="1:28" x14ac:dyDescent="0.2">
      <c r="A252" s="5">
        <v>108013</v>
      </c>
      <c r="B252" s="5" t="s">
        <v>679</v>
      </c>
      <c r="C252" s="5">
        <v>168</v>
      </c>
      <c r="D252" s="5">
        <v>214</v>
      </c>
      <c r="E252" s="5">
        <v>66</v>
      </c>
      <c r="F252" s="5">
        <v>61</v>
      </c>
      <c r="G252" s="5">
        <v>69</v>
      </c>
      <c r="H252" s="5">
        <v>57</v>
      </c>
      <c r="I252" s="5">
        <v>52</v>
      </c>
      <c r="J252" s="5">
        <f>SUM(E252:I252)</f>
        <v>305</v>
      </c>
      <c r="K252" s="5">
        <v>250</v>
      </c>
      <c r="L252" s="5">
        <v>8</v>
      </c>
      <c r="M252" s="5" t="s">
        <v>696</v>
      </c>
      <c r="N252" s="5">
        <v>10</v>
      </c>
      <c r="O252" s="5">
        <v>17</v>
      </c>
      <c r="P252" s="5"/>
      <c r="Q252" s="5"/>
      <c r="R252" s="5">
        <f>MAX(25, INT(POWER(2.2,J252/45)))</f>
        <v>209</v>
      </c>
      <c r="S252" s="5">
        <v>0</v>
      </c>
      <c r="T252" s="5">
        <v>1</v>
      </c>
      <c r="U252" s="5" t="s">
        <v>298</v>
      </c>
      <c r="V252" s="5"/>
      <c r="W252" s="5"/>
      <c r="X252" s="5"/>
      <c r="Y252" s="5" t="s">
        <v>185</v>
      </c>
      <c r="Z252" s="10" t="s">
        <v>337</v>
      </c>
      <c r="AA252" s="5" t="s">
        <v>856</v>
      </c>
    </row>
    <row r="253" spans="1:28" x14ac:dyDescent="0.2">
      <c r="A253" s="5">
        <v>108014</v>
      </c>
      <c r="B253" s="5" t="s">
        <v>680</v>
      </c>
      <c r="C253" s="5">
        <v>166</v>
      </c>
      <c r="D253" s="5">
        <v>212</v>
      </c>
      <c r="E253" s="5">
        <v>62</v>
      </c>
      <c r="F253" s="5">
        <v>68</v>
      </c>
      <c r="G253" s="5">
        <v>68</v>
      </c>
      <c r="H253" s="5">
        <v>62</v>
      </c>
      <c r="I253" s="5">
        <v>53</v>
      </c>
      <c r="J253" s="5">
        <f>SUM(E253:I253)</f>
        <v>313</v>
      </c>
      <c r="K253" s="5">
        <v>250</v>
      </c>
      <c r="L253" s="5">
        <v>8</v>
      </c>
      <c r="M253" s="5" t="s">
        <v>697</v>
      </c>
      <c r="N253" s="5">
        <v>10</v>
      </c>
      <c r="O253" s="5">
        <v>17</v>
      </c>
      <c r="P253" s="5"/>
      <c r="Q253" s="5"/>
      <c r="R253" s="5">
        <f>MAX(25, INT(POWER(2.2,J253/45)))</f>
        <v>240</v>
      </c>
      <c r="S253" s="5">
        <v>0</v>
      </c>
      <c r="T253" s="5">
        <v>1</v>
      </c>
      <c r="U253" s="5" t="s">
        <v>298</v>
      </c>
      <c r="V253" s="5"/>
      <c r="W253" s="5"/>
      <c r="X253" s="5"/>
      <c r="Y253" s="5" t="s">
        <v>185</v>
      </c>
      <c r="Z253" s="10" t="s">
        <v>337</v>
      </c>
      <c r="AA253" s="5" t="s">
        <v>903</v>
      </c>
    </row>
    <row r="254" spans="1:28" x14ac:dyDescent="0.2">
      <c r="A254" s="5">
        <v>108015</v>
      </c>
      <c r="B254" s="5" t="s">
        <v>681</v>
      </c>
      <c r="C254" s="5">
        <v>168</v>
      </c>
      <c r="D254" s="5">
        <v>218</v>
      </c>
      <c r="E254" s="5">
        <v>62</v>
      </c>
      <c r="F254" s="5">
        <v>80</v>
      </c>
      <c r="G254" s="5">
        <v>35</v>
      </c>
      <c r="H254" s="5">
        <v>36</v>
      </c>
      <c r="I254" s="5">
        <v>50</v>
      </c>
      <c r="J254" s="5">
        <f>SUM(E254:I254)</f>
        <v>263</v>
      </c>
      <c r="K254" s="5">
        <v>250</v>
      </c>
      <c r="L254" s="5">
        <v>8</v>
      </c>
      <c r="M254" s="5" t="s">
        <v>696</v>
      </c>
      <c r="N254" s="5">
        <v>10</v>
      </c>
      <c r="O254" s="5">
        <v>17</v>
      </c>
      <c r="P254" s="5"/>
      <c r="Q254" s="5"/>
      <c r="R254" s="5">
        <f>MAX(25, INT(POWER(2.2,J254/45)))</f>
        <v>100</v>
      </c>
      <c r="S254" s="5">
        <v>0</v>
      </c>
      <c r="T254" s="5">
        <v>1</v>
      </c>
      <c r="U254" s="5" t="s">
        <v>298</v>
      </c>
      <c r="V254" s="5"/>
      <c r="W254" s="5"/>
      <c r="X254" s="5"/>
      <c r="Y254" s="5" t="s">
        <v>185</v>
      </c>
      <c r="Z254" s="10" t="s">
        <v>337</v>
      </c>
      <c r="AA254" s="5" t="s">
        <v>880</v>
      </c>
    </row>
    <row r="255" spans="1:28" x14ac:dyDescent="0.2">
      <c r="A255" s="5">
        <v>108016</v>
      </c>
      <c r="B255" s="5" t="s">
        <v>682</v>
      </c>
      <c r="C255" s="5">
        <v>165</v>
      </c>
      <c r="D255" s="5">
        <v>214</v>
      </c>
      <c r="E255" s="5">
        <v>58</v>
      </c>
      <c r="F255" s="5">
        <v>36</v>
      </c>
      <c r="G255" s="5">
        <v>65</v>
      </c>
      <c r="H255" s="5">
        <v>71</v>
      </c>
      <c r="I255" s="5">
        <v>55</v>
      </c>
      <c r="J255" s="5">
        <f>SUM(E255:I255)</f>
        <v>285</v>
      </c>
      <c r="K255" s="5">
        <v>250</v>
      </c>
      <c r="L255" s="5">
        <v>8</v>
      </c>
      <c r="M255" s="5" t="s">
        <v>696</v>
      </c>
      <c r="N255" s="5">
        <v>10</v>
      </c>
      <c r="O255" s="5">
        <v>17</v>
      </c>
      <c r="P255" s="5"/>
      <c r="Q255" s="5"/>
      <c r="R255" s="5">
        <f>MAX(25, INT(POWER(2.2,J255/45)))</f>
        <v>147</v>
      </c>
      <c r="S255" s="5">
        <v>0</v>
      </c>
      <c r="T255" s="5">
        <v>1</v>
      </c>
      <c r="U255" s="5" t="s">
        <v>298</v>
      </c>
      <c r="V255" s="5"/>
      <c r="W255" s="5"/>
      <c r="X255" s="5"/>
      <c r="Y255" s="5" t="s">
        <v>185</v>
      </c>
      <c r="Z255" s="10" t="s">
        <v>337</v>
      </c>
      <c r="AA255" s="5" t="s">
        <v>881</v>
      </c>
    </row>
    <row r="256" spans="1:28" x14ac:dyDescent="0.2">
      <c r="A256" s="5">
        <v>108017</v>
      </c>
      <c r="B256" s="5" t="s">
        <v>684</v>
      </c>
      <c r="C256" s="5">
        <v>173</v>
      </c>
      <c r="D256" s="5">
        <v>222</v>
      </c>
      <c r="E256" s="5">
        <v>62</v>
      </c>
      <c r="F256" s="5">
        <v>41</v>
      </c>
      <c r="G256" s="5">
        <v>79</v>
      </c>
      <c r="H256" s="5">
        <v>79</v>
      </c>
      <c r="I256" s="5">
        <v>73</v>
      </c>
      <c r="J256" s="5">
        <f>SUM(E256:I256)</f>
        <v>334</v>
      </c>
      <c r="K256" s="5">
        <v>250</v>
      </c>
      <c r="L256" s="5">
        <v>8</v>
      </c>
      <c r="M256" s="5" t="s">
        <v>695</v>
      </c>
      <c r="N256" s="5">
        <v>10</v>
      </c>
      <c r="O256" s="5">
        <v>17</v>
      </c>
      <c r="P256" s="5"/>
      <c r="Q256" s="5"/>
      <c r="R256" s="5">
        <f>MAX(25, INT(POWER(2.2,J256/45)))</f>
        <v>347</v>
      </c>
      <c r="S256" s="5">
        <v>0</v>
      </c>
      <c r="T256" s="5">
        <v>1</v>
      </c>
      <c r="U256" s="5" t="s">
        <v>298</v>
      </c>
      <c r="V256" s="5"/>
      <c r="W256" s="5"/>
      <c r="X256" s="5"/>
      <c r="Y256" s="5" t="s">
        <v>185</v>
      </c>
      <c r="Z256" s="10" t="s">
        <v>337</v>
      </c>
      <c r="AA256" s="5" t="s">
        <v>879</v>
      </c>
    </row>
    <row r="257" spans="1:28" x14ac:dyDescent="0.2">
      <c r="A257" s="5">
        <v>108018</v>
      </c>
      <c r="B257" s="5" t="s">
        <v>685</v>
      </c>
      <c r="C257" s="5">
        <v>162</v>
      </c>
      <c r="D257" s="5">
        <v>220</v>
      </c>
      <c r="E257" s="5">
        <v>57</v>
      </c>
      <c r="F257" s="5">
        <v>34</v>
      </c>
      <c r="G257" s="5">
        <v>74</v>
      </c>
      <c r="H257" s="5">
        <v>88</v>
      </c>
      <c r="I257" s="5">
        <v>76</v>
      </c>
      <c r="J257" s="5">
        <f>SUM(E257:I257)</f>
        <v>329</v>
      </c>
      <c r="K257" s="5">
        <v>250</v>
      </c>
      <c r="L257" s="5">
        <v>8</v>
      </c>
      <c r="M257" s="5" t="s">
        <v>695</v>
      </c>
      <c r="N257" s="5">
        <v>10</v>
      </c>
      <c r="O257" s="5">
        <v>17</v>
      </c>
      <c r="P257" s="5"/>
      <c r="Q257" s="5"/>
      <c r="R257" s="5">
        <f>MAX(25, INT(POWER(2.2,J257/45)))</f>
        <v>318</v>
      </c>
      <c r="S257" s="5">
        <v>0</v>
      </c>
      <c r="T257" s="5">
        <v>1</v>
      </c>
      <c r="U257" s="5" t="s">
        <v>298</v>
      </c>
      <c r="V257" s="5"/>
      <c r="W257" s="5"/>
      <c r="X257" s="5"/>
      <c r="Y257" s="5" t="s">
        <v>185</v>
      </c>
      <c r="Z257" s="10" t="s">
        <v>337</v>
      </c>
      <c r="AA257" s="5" t="s">
        <v>882</v>
      </c>
    </row>
    <row r="258" spans="1:28" x14ac:dyDescent="0.2">
      <c r="A258" s="5">
        <v>108019</v>
      </c>
      <c r="B258" s="5" t="s">
        <v>686</v>
      </c>
      <c r="C258" s="5">
        <v>166</v>
      </c>
      <c r="D258" s="5">
        <v>237</v>
      </c>
      <c r="E258" s="5">
        <v>83</v>
      </c>
      <c r="F258" s="5">
        <v>73</v>
      </c>
      <c r="G258" s="5">
        <v>68</v>
      </c>
      <c r="H258" s="5">
        <v>70</v>
      </c>
      <c r="I258" s="5">
        <v>77</v>
      </c>
      <c r="J258" s="5">
        <f>SUM(E258:I258)</f>
        <v>371</v>
      </c>
      <c r="K258" s="5">
        <v>250</v>
      </c>
      <c r="L258" s="5">
        <v>8</v>
      </c>
      <c r="M258" s="5" t="s">
        <v>697</v>
      </c>
      <c r="N258" s="5">
        <v>10</v>
      </c>
      <c r="O258" s="5">
        <v>17</v>
      </c>
      <c r="P258" s="5"/>
      <c r="Q258" s="5"/>
      <c r="R258" s="5">
        <f>MAX(25, INT(POWER(2.2,J258/45)))</f>
        <v>665</v>
      </c>
      <c r="S258" s="5">
        <v>0</v>
      </c>
      <c r="T258" s="5">
        <v>1</v>
      </c>
      <c r="U258" s="5" t="s">
        <v>298</v>
      </c>
      <c r="V258" s="5"/>
      <c r="W258" s="5"/>
      <c r="X258" s="5"/>
      <c r="Y258" s="5" t="s">
        <v>185</v>
      </c>
      <c r="Z258" s="10" t="s">
        <v>337</v>
      </c>
      <c r="AA258" s="5" t="s">
        <v>883</v>
      </c>
    </row>
    <row r="259" spans="1:28" x14ac:dyDescent="0.2">
      <c r="A259" s="5">
        <v>108020</v>
      </c>
      <c r="B259" s="5" t="s">
        <v>687</v>
      </c>
      <c r="C259" s="5">
        <v>170</v>
      </c>
      <c r="D259" s="5">
        <v>231</v>
      </c>
      <c r="E259" s="5">
        <v>74</v>
      </c>
      <c r="F259" s="5">
        <v>71</v>
      </c>
      <c r="G259" s="5">
        <v>56</v>
      </c>
      <c r="H259" s="5">
        <v>45</v>
      </c>
      <c r="I259" s="5">
        <v>66</v>
      </c>
      <c r="J259" s="5">
        <f>SUM(E259:I259)</f>
        <v>312</v>
      </c>
      <c r="K259" s="5">
        <v>250</v>
      </c>
      <c r="L259" s="5">
        <v>8</v>
      </c>
      <c r="M259" s="5" t="s">
        <v>697</v>
      </c>
      <c r="N259" s="5">
        <v>10</v>
      </c>
      <c r="O259" s="5">
        <v>17</v>
      </c>
      <c r="P259" s="5"/>
      <c r="Q259" s="5"/>
      <c r="R259" s="5">
        <f>MAX(25, INT(POWER(2.2,J259/45)))</f>
        <v>236</v>
      </c>
      <c r="S259" s="5">
        <v>0</v>
      </c>
      <c r="T259" s="5">
        <v>1</v>
      </c>
      <c r="U259" s="5" t="s">
        <v>298</v>
      </c>
      <c r="V259" s="5"/>
      <c r="W259" s="5"/>
      <c r="X259" s="5"/>
      <c r="Y259" s="5" t="s">
        <v>185</v>
      </c>
      <c r="Z259" s="10" t="s">
        <v>337</v>
      </c>
      <c r="AA259" s="5" t="s">
        <v>884</v>
      </c>
    </row>
    <row r="260" spans="1:28" x14ac:dyDescent="0.2">
      <c r="A260" s="5">
        <v>108021</v>
      </c>
      <c r="B260" s="5" t="s">
        <v>688</v>
      </c>
      <c r="C260" s="5">
        <v>168</v>
      </c>
      <c r="D260" s="5">
        <v>214</v>
      </c>
      <c r="E260" s="5">
        <v>71</v>
      </c>
      <c r="F260" s="5">
        <v>82</v>
      </c>
      <c r="G260" s="5">
        <v>68</v>
      </c>
      <c r="H260" s="5">
        <v>37</v>
      </c>
      <c r="I260" s="5">
        <v>23</v>
      </c>
      <c r="J260" s="5">
        <f>SUM(E260:I260)</f>
        <v>281</v>
      </c>
      <c r="K260" s="5">
        <v>250</v>
      </c>
      <c r="L260" s="5">
        <v>8</v>
      </c>
      <c r="M260" s="5" t="s">
        <v>700</v>
      </c>
      <c r="N260" s="5">
        <v>10</v>
      </c>
      <c r="O260" s="5">
        <v>17</v>
      </c>
      <c r="P260" s="5"/>
      <c r="Q260" s="5"/>
      <c r="R260" s="5">
        <f>MAX(25, INT(POWER(2.2,J260/45)))</f>
        <v>137</v>
      </c>
      <c r="S260" s="5">
        <v>0</v>
      </c>
      <c r="T260" s="5">
        <v>1</v>
      </c>
      <c r="U260" s="5" t="s">
        <v>298</v>
      </c>
      <c r="V260" s="5"/>
      <c r="W260" s="5"/>
      <c r="X260" s="5"/>
      <c r="Y260" s="5" t="s">
        <v>185</v>
      </c>
      <c r="Z260" s="10" t="s">
        <v>337</v>
      </c>
      <c r="AA260" s="5" t="s">
        <v>817</v>
      </c>
    </row>
    <row r="261" spans="1:28" x14ac:dyDescent="0.2">
      <c r="A261" s="5">
        <v>108022</v>
      </c>
      <c r="B261" s="5" t="s">
        <v>689</v>
      </c>
      <c r="C261" s="5">
        <v>166</v>
      </c>
      <c r="D261" s="5">
        <v>214</v>
      </c>
      <c r="E261" s="5">
        <v>71</v>
      </c>
      <c r="F261" s="5">
        <v>73</v>
      </c>
      <c r="G261" s="5">
        <v>66</v>
      </c>
      <c r="H261" s="5">
        <v>44</v>
      </c>
      <c r="I261" s="5">
        <v>62</v>
      </c>
      <c r="J261" s="5">
        <f>SUM(E261:I261)</f>
        <v>316</v>
      </c>
      <c r="K261" s="5">
        <v>250</v>
      </c>
      <c r="L261" s="5">
        <v>8</v>
      </c>
      <c r="M261" s="5" t="s">
        <v>754</v>
      </c>
      <c r="N261" s="5">
        <v>10</v>
      </c>
      <c r="O261" s="5">
        <v>17</v>
      </c>
      <c r="P261" s="5"/>
      <c r="Q261" s="5"/>
      <c r="R261" s="5">
        <f>MAX(25, INT(POWER(2.2,J261/45)))</f>
        <v>253</v>
      </c>
      <c r="S261" s="5">
        <v>0</v>
      </c>
      <c r="T261" s="5">
        <v>1</v>
      </c>
      <c r="U261" s="5" t="s">
        <v>298</v>
      </c>
      <c r="V261" s="5"/>
      <c r="W261" s="5"/>
      <c r="X261" s="5"/>
      <c r="Y261" s="5" t="s">
        <v>185</v>
      </c>
      <c r="Z261" s="10" t="s">
        <v>337</v>
      </c>
      <c r="AA261" s="5" t="s">
        <v>885</v>
      </c>
    </row>
    <row r="262" spans="1:28" x14ac:dyDescent="0.2">
      <c r="A262" s="5">
        <v>108023</v>
      </c>
      <c r="B262" s="5" t="s">
        <v>886</v>
      </c>
      <c r="C262" s="5">
        <v>178</v>
      </c>
      <c r="D262" s="5">
        <v>220</v>
      </c>
      <c r="E262" s="5">
        <v>61</v>
      </c>
      <c r="F262" s="5">
        <v>44</v>
      </c>
      <c r="G262" s="5">
        <v>39</v>
      </c>
      <c r="H262" s="5">
        <v>48</v>
      </c>
      <c r="I262" s="5">
        <v>55</v>
      </c>
      <c r="J262" s="5">
        <f>SUM(E262:I262)</f>
        <v>247</v>
      </c>
      <c r="K262" s="5">
        <v>250</v>
      </c>
      <c r="L262" s="5">
        <v>8</v>
      </c>
      <c r="M262" s="5" t="s">
        <v>754</v>
      </c>
      <c r="N262" s="5">
        <v>10</v>
      </c>
      <c r="O262" s="5">
        <v>17</v>
      </c>
      <c r="P262" s="5"/>
      <c r="Q262" s="5"/>
      <c r="R262" s="5">
        <f>MAX(25, INT(POWER(2.2,J262/45)))</f>
        <v>75</v>
      </c>
      <c r="S262" s="5">
        <v>0</v>
      </c>
      <c r="T262" s="5">
        <v>1</v>
      </c>
      <c r="U262" s="5" t="s">
        <v>298</v>
      </c>
      <c r="V262" s="5"/>
      <c r="W262" s="5"/>
      <c r="X262" s="5"/>
      <c r="Y262" s="5" t="s">
        <v>185</v>
      </c>
      <c r="Z262" s="10" t="s">
        <v>337</v>
      </c>
      <c r="AA262" s="5" t="s">
        <v>887</v>
      </c>
    </row>
    <row r="263" spans="1:28" x14ac:dyDescent="0.2">
      <c r="A263" s="5">
        <v>108024</v>
      </c>
      <c r="B263" s="5" t="s">
        <v>690</v>
      </c>
      <c r="C263" s="5">
        <v>168</v>
      </c>
      <c r="D263" s="5">
        <v>214</v>
      </c>
      <c r="E263" s="5">
        <v>28</v>
      </c>
      <c r="F263" s="5">
        <v>30</v>
      </c>
      <c r="G263" s="5">
        <v>78</v>
      </c>
      <c r="H263" s="5">
        <v>81</v>
      </c>
      <c r="I263" s="5">
        <v>73</v>
      </c>
      <c r="J263" s="5">
        <f>SUM(E263:I263)</f>
        <v>290</v>
      </c>
      <c r="K263" s="5">
        <v>250</v>
      </c>
      <c r="L263" s="5">
        <v>8</v>
      </c>
      <c r="M263" s="5" t="s">
        <v>697</v>
      </c>
      <c r="N263" s="5">
        <v>10</v>
      </c>
      <c r="O263" s="5">
        <v>17</v>
      </c>
      <c r="P263" s="5"/>
      <c r="Q263" s="5"/>
      <c r="R263" s="5">
        <f>MAX(25, INT(POWER(2.2,J263/45)))</f>
        <v>160</v>
      </c>
      <c r="S263" s="5">
        <v>0</v>
      </c>
      <c r="T263" s="5">
        <v>1</v>
      </c>
      <c r="U263" s="5" t="s">
        <v>298</v>
      </c>
      <c r="V263" s="5"/>
      <c r="W263" s="5"/>
      <c r="X263" s="5"/>
      <c r="Y263" s="5" t="s">
        <v>185</v>
      </c>
      <c r="Z263" s="10" t="s">
        <v>337</v>
      </c>
      <c r="AA263" s="5" t="s">
        <v>835</v>
      </c>
      <c r="AB263" t="e">
        <f>COUNTIF([1]Sheet1!#REF!, "*"&amp; A263&amp;"*")</f>
        <v>#REF!</v>
      </c>
    </row>
    <row r="264" spans="1:28" x14ac:dyDescent="0.2">
      <c r="A264" s="5">
        <v>108025</v>
      </c>
      <c r="B264" s="5" t="s">
        <v>691</v>
      </c>
      <c r="C264" s="5">
        <v>174</v>
      </c>
      <c r="D264" s="5">
        <v>226</v>
      </c>
      <c r="E264" s="5">
        <v>15</v>
      </c>
      <c r="F264" s="5">
        <v>6</v>
      </c>
      <c r="G264" s="5">
        <v>71</v>
      </c>
      <c r="H264" s="5">
        <v>77</v>
      </c>
      <c r="I264" s="5">
        <v>75</v>
      </c>
      <c r="J264" s="5">
        <f>SUM(E264:I264)</f>
        <v>244</v>
      </c>
      <c r="K264" s="5">
        <v>250</v>
      </c>
      <c r="L264" s="5">
        <v>8</v>
      </c>
      <c r="M264" s="5" t="s">
        <v>697</v>
      </c>
      <c r="N264" s="5">
        <v>10</v>
      </c>
      <c r="O264" s="5">
        <v>17</v>
      </c>
      <c r="P264" s="5"/>
      <c r="Q264" s="5"/>
      <c r="R264" s="5">
        <f>MAX(25, INT(POWER(2.2,J264/45)))</f>
        <v>71</v>
      </c>
      <c r="S264" s="5">
        <v>0</v>
      </c>
      <c r="T264" s="5">
        <v>1</v>
      </c>
      <c r="U264" s="5" t="s">
        <v>298</v>
      </c>
      <c r="V264" s="5"/>
      <c r="W264" s="5"/>
      <c r="X264" s="5"/>
      <c r="Y264" s="5" t="s">
        <v>185</v>
      </c>
      <c r="Z264" s="10" t="s">
        <v>337</v>
      </c>
      <c r="AA264" s="5" t="s">
        <v>836</v>
      </c>
      <c r="AB264" t="e">
        <f>COUNTIF([1]Sheet1!#REF!, "*"&amp; A264&amp;"*")</f>
        <v>#REF!</v>
      </c>
    </row>
    <row r="265" spans="1:28" x14ac:dyDescent="0.2">
      <c r="A265" s="5">
        <v>108026</v>
      </c>
      <c r="B265" s="5" t="s">
        <v>692</v>
      </c>
      <c r="C265" s="5">
        <v>170</v>
      </c>
      <c r="D265" s="5">
        <v>250</v>
      </c>
      <c r="E265" s="5">
        <v>15</v>
      </c>
      <c r="F265" s="5">
        <v>28</v>
      </c>
      <c r="G265" s="5">
        <v>64</v>
      </c>
      <c r="H265" s="5">
        <v>75</v>
      </c>
      <c r="I265" s="5">
        <v>66</v>
      </c>
      <c r="J265" s="5">
        <f>SUM(E265:I265)</f>
        <v>248</v>
      </c>
      <c r="K265" s="5">
        <v>250</v>
      </c>
      <c r="L265" s="5">
        <v>8</v>
      </c>
      <c r="M265" s="5" t="s">
        <v>697</v>
      </c>
      <c r="N265" s="5">
        <v>10</v>
      </c>
      <c r="O265" s="5">
        <v>17</v>
      </c>
      <c r="P265" s="5"/>
      <c r="Q265" s="5"/>
      <c r="R265" s="5">
        <f>MAX(25, INT(POWER(2.2,J265/45)))</f>
        <v>77</v>
      </c>
      <c r="S265" s="5">
        <v>0</v>
      </c>
      <c r="T265" s="5">
        <v>1</v>
      </c>
      <c r="U265" s="5" t="s">
        <v>298</v>
      </c>
      <c r="V265" s="5"/>
      <c r="W265" s="5"/>
      <c r="X265" s="5"/>
      <c r="Y265" s="5" t="s">
        <v>185</v>
      </c>
      <c r="Z265" s="10" t="s">
        <v>337</v>
      </c>
      <c r="AA265" s="5" t="s">
        <v>837</v>
      </c>
      <c r="AB265" t="e">
        <f>COUNTIF([1]Sheet1!#REF!, "*"&amp; A265&amp;"*")</f>
        <v>#REF!</v>
      </c>
    </row>
    <row r="266" spans="1:28" x14ac:dyDescent="0.2">
      <c r="A266" s="5">
        <v>108027</v>
      </c>
      <c r="B266" s="5" t="s">
        <v>693</v>
      </c>
      <c r="C266" s="5">
        <v>155</v>
      </c>
      <c r="D266" s="5">
        <v>222</v>
      </c>
      <c r="E266" s="5">
        <v>2</v>
      </c>
      <c r="F266" s="5">
        <v>4</v>
      </c>
      <c r="G266" s="5">
        <v>64</v>
      </c>
      <c r="H266" s="5">
        <v>77</v>
      </c>
      <c r="I266" s="5">
        <v>65</v>
      </c>
      <c r="J266" s="5">
        <f>SUM(E266:I266)</f>
        <v>212</v>
      </c>
      <c r="K266" s="5">
        <v>250</v>
      </c>
      <c r="L266" s="5">
        <v>8</v>
      </c>
      <c r="M266" s="5" t="s">
        <v>697</v>
      </c>
      <c r="N266" s="5">
        <v>10</v>
      </c>
      <c r="O266" s="5">
        <v>17</v>
      </c>
      <c r="P266" s="5"/>
      <c r="Q266" s="5"/>
      <c r="R266" s="5">
        <f>MAX(25, INT(POWER(2.2,J266/45)))</f>
        <v>41</v>
      </c>
      <c r="S266" s="5">
        <v>0</v>
      </c>
      <c r="T266" s="5">
        <v>1</v>
      </c>
      <c r="U266" s="5" t="s">
        <v>298</v>
      </c>
      <c r="V266" s="5"/>
      <c r="W266" s="5"/>
      <c r="X266" s="5"/>
      <c r="Y266" s="5" t="s">
        <v>185</v>
      </c>
      <c r="Z266" s="10" t="s">
        <v>337</v>
      </c>
      <c r="AA266" s="5" t="s">
        <v>838</v>
      </c>
      <c r="AB266" t="e">
        <f>COUNTIF([1]Sheet1!#REF!, "*"&amp; A266&amp;"*")</f>
        <v>#REF!</v>
      </c>
    </row>
    <row r="267" spans="1:28" x14ac:dyDescent="0.2">
      <c r="A267" s="13">
        <v>100009</v>
      </c>
      <c r="B267" s="13" t="s">
        <v>569</v>
      </c>
      <c r="C267" s="13">
        <v>155</v>
      </c>
      <c r="D267" s="13">
        <v>216</v>
      </c>
      <c r="E267" s="5">
        <v>51</v>
      </c>
      <c r="F267" s="5">
        <v>26</v>
      </c>
      <c r="G267" s="5">
        <v>74</v>
      </c>
      <c r="H267" s="5">
        <v>78</v>
      </c>
      <c r="I267" s="5">
        <v>75</v>
      </c>
      <c r="J267" s="5">
        <f>SUM(E267:I267)</f>
        <v>304</v>
      </c>
      <c r="K267" s="5">
        <v>310</v>
      </c>
      <c r="L267" s="5">
        <v>9</v>
      </c>
      <c r="M267" s="5" t="s">
        <v>622</v>
      </c>
      <c r="N267" s="5">
        <v>10</v>
      </c>
      <c r="O267" s="5">
        <v>17</v>
      </c>
      <c r="P267" s="5"/>
      <c r="Q267" s="5"/>
      <c r="R267" s="5">
        <v>0</v>
      </c>
      <c r="S267" s="5">
        <v>0</v>
      </c>
      <c r="T267" s="5">
        <v>1</v>
      </c>
      <c r="U267" s="5" t="s">
        <v>284</v>
      </c>
      <c r="V267" s="5"/>
      <c r="W267" s="5"/>
      <c r="X267" s="5"/>
      <c r="Y267" s="5" t="s">
        <v>184</v>
      </c>
      <c r="Z267" s="10" t="s">
        <v>71</v>
      </c>
      <c r="AA267" s="5" t="s">
        <v>570</v>
      </c>
      <c r="AB267" t="e">
        <f>COUNTIF([1]Sheet1!#REF!, "*"&amp; A267&amp;"*")</f>
        <v>#REF!</v>
      </c>
    </row>
    <row r="268" spans="1:28" x14ac:dyDescent="0.2">
      <c r="A268" s="5">
        <v>109001</v>
      </c>
      <c r="B268" s="5" t="s">
        <v>585</v>
      </c>
      <c r="C268" s="5">
        <v>170</v>
      </c>
      <c r="D268" s="5">
        <v>215</v>
      </c>
      <c r="E268" s="5">
        <v>71</v>
      </c>
      <c r="F268" s="5">
        <v>63</v>
      </c>
      <c r="G268" s="5">
        <v>43</v>
      </c>
      <c r="H268" s="5">
        <v>42</v>
      </c>
      <c r="I268" s="5">
        <v>58</v>
      </c>
      <c r="J268" s="5">
        <f>SUM(E268:I268)</f>
        <v>277</v>
      </c>
      <c r="K268" s="5">
        <v>300</v>
      </c>
      <c r="L268" s="5">
        <v>9</v>
      </c>
      <c r="M268" s="5" t="s">
        <v>622</v>
      </c>
      <c r="N268" s="5">
        <v>10</v>
      </c>
      <c r="O268" s="5">
        <v>17</v>
      </c>
      <c r="P268" s="5"/>
      <c r="Q268" s="5"/>
      <c r="R268" s="5">
        <f>MAX(25, INT(POWER(2.2,J268/45)))</f>
        <v>128</v>
      </c>
      <c r="S268" s="5">
        <v>0</v>
      </c>
      <c r="T268" s="5">
        <v>1</v>
      </c>
      <c r="U268" s="5" t="s">
        <v>298</v>
      </c>
      <c r="V268" s="5"/>
      <c r="W268" s="5"/>
      <c r="X268" s="5"/>
      <c r="Y268" s="5" t="s">
        <v>185</v>
      </c>
      <c r="Z268" s="10" t="s">
        <v>337</v>
      </c>
      <c r="AA268" s="5" t="s">
        <v>840</v>
      </c>
      <c r="AB268" t="e">
        <f>COUNTIF([1]Sheet1!#REF!, "*"&amp; A268&amp;"*")</f>
        <v>#REF!</v>
      </c>
    </row>
    <row r="269" spans="1:28" x14ac:dyDescent="0.2">
      <c r="A269" s="5">
        <v>109002</v>
      </c>
      <c r="B269" s="5" t="s">
        <v>586</v>
      </c>
      <c r="C269" s="5">
        <v>170</v>
      </c>
      <c r="D269" s="5">
        <v>215</v>
      </c>
      <c r="E269" s="5">
        <v>67</v>
      </c>
      <c r="F269" s="5">
        <v>75</v>
      </c>
      <c r="G269" s="5">
        <v>51</v>
      </c>
      <c r="H269" s="5">
        <v>38</v>
      </c>
      <c r="I269" s="5">
        <v>54</v>
      </c>
      <c r="J269" s="5">
        <f>SUM(E269:I269)</f>
        <v>285</v>
      </c>
      <c r="K269" s="5">
        <v>300</v>
      </c>
      <c r="L269" s="5">
        <v>9</v>
      </c>
      <c r="M269" s="5" t="s">
        <v>623</v>
      </c>
      <c r="N269" s="5">
        <v>10</v>
      </c>
      <c r="O269" s="5">
        <v>17</v>
      </c>
      <c r="P269" s="5"/>
      <c r="Q269" s="5"/>
      <c r="R269" s="5">
        <f>MAX(25, INT(POWER(2.2,J269/45)))</f>
        <v>147</v>
      </c>
      <c r="S269" s="5">
        <v>0</v>
      </c>
      <c r="T269" s="5">
        <v>1</v>
      </c>
      <c r="U269" s="5" t="s">
        <v>298</v>
      </c>
      <c r="V269" s="5"/>
      <c r="W269" s="5"/>
      <c r="X269" s="5"/>
      <c r="Y269" s="5" t="s">
        <v>185</v>
      </c>
      <c r="Z269" s="10" t="s">
        <v>337</v>
      </c>
      <c r="AA269" s="5" t="s">
        <v>839</v>
      </c>
      <c r="AB269" t="e">
        <f>COUNTIF([1]Sheet1!#REF!, "*"&amp; A269&amp;"*")</f>
        <v>#REF!</v>
      </c>
    </row>
    <row r="270" spans="1:28" x14ac:dyDescent="0.2">
      <c r="A270" s="5">
        <v>109003</v>
      </c>
      <c r="B270" s="5" t="s">
        <v>587</v>
      </c>
      <c r="C270" s="5">
        <v>172</v>
      </c>
      <c r="D270" s="5">
        <v>215</v>
      </c>
      <c r="E270" s="5">
        <v>65</v>
      </c>
      <c r="F270" s="5">
        <v>69</v>
      </c>
      <c r="G270" s="5">
        <v>36</v>
      </c>
      <c r="H270" s="5">
        <v>33</v>
      </c>
      <c r="I270" s="5">
        <v>40</v>
      </c>
      <c r="J270" s="5">
        <f>SUM(E270:I270)</f>
        <v>243</v>
      </c>
      <c r="K270" s="5">
        <v>300</v>
      </c>
      <c r="L270" s="5">
        <v>9</v>
      </c>
      <c r="M270" s="5" t="s">
        <v>624</v>
      </c>
      <c r="N270" s="5">
        <v>10</v>
      </c>
      <c r="O270" s="5">
        <v>17</v>
      </c>
      <c r="P270" s="5"/>
      <c r="Q270" s="5"/>
      <c r="R270" s="5">
        <f>MAX(25, INT(POWER(2.2,J270/45)))</f>
        <v>70</v>
      </c>
      <c r="S270" s="5">
        <v>0</v>
      </c>
      <c r="T270" s="5">
        <v>1</v>
      </c>
      <c r="U270" s="5" t="s">
        <v>298</v>
      </c>
      <c r="V270" s="5"/>
      <c r="W270" s="5"/>
      <c r="X270" s="5"/>
      <c r="Y270" s="5" t="s">
        <v>185</v>
      </c>
      <c r="Z270" s="10" t="s">
        <v>337</v>
      </c>
      <c r="AA270" s="5" t="s">
        <v>888</v>
      </c>
      <c r="AB270" t="e">
        <f>COUNTIF([1]Sheet1!#REF!, "*"&amp; A270&amp;"*")</f>
        <v>#REF!</v>
      </c>
    </row>
    <row r="271" spans="1:28" x14ac:dyDescent="0.2">
      <c r="A271" s="5">
        <v>109004</v>
      </c>
      <c r="B271" s="5" t="s">
        <v>588</v>
      </c>
      <c r="C271" s="5">
        <v>168</v>
      </c>
      <c r="D271" s="5">
        <v>215</v>
      </c>
      <c r="E271" s="5">
        <v>1</v>
      </c>
      <c r="F271" s="5">
        <v>4</v>
      </c>
      <c r="G271" s="5">
        <v>27</v>
      </c>
      <c r="H271" s="5">
        <v>34</v>
      </c>
      <c r="I271" s="5">
        <v>4</v>
      </c>
      <c r="J271" s="5">
        <f>SUM(E271:I271)</f>
        <v>70</v>
      </c>
      <c r="K271" s="5">
        <v>300</v>
      </c>
      <c r="L271" s="5">
        <v>9</v>
      </c>
      <c r="M271" s="5" t="s">
        <v>623</v>
      </c>
      <c r="N271" s="5">
        <v>10</v>
      </c>
      <c r="O271" s="5">
        <v>17</v>
      </c>
      <c r="P271" s="5"/>
      <c r="Q271" s="5"/>
      <c r="R271" s="5">
        <f>MAX(25, INT(POWER(2.2,J271/45)))</f>
        <v>25</v>
      </c>
      <c r="S271" s="5">
        <v>0</v>
      </c>
      <c r="T271" s="5">
        <v>1</v>
      </c>
      <c r="U271" s="5" t="s">
        <v>298</v>
      </c>
      <c r="V271" s="5"/>
      <c r="W271" s="5"/>
      <c r="X271" s="5"/>
      <c r="Y271" s="5" t="s">
        <v>185</v>
      </c>
      <c r="Z271" s="10" t="s">
        <v>337</v>
      </c>
      <c r="AA271" s="5" t="s">
        <v>889</v>
      </c>
      <c r="AB271" t="e">
        <f>COUNTIF([1]Sheet1!#REF!, "*"&amp; A271&amp;"*")</f>
        <v>#REF!</v>
      </c>
    </row>
    <row r="272" spans="1:28" x14ac:dyDescent="0.2">
      <c r="A272" s="5">
        <v>109005</v>
      </c>
      <c r="B272" s="5" t="s">
        <v>589</v>
      </c>
      <c r="C272" s="5">
        <v>170</v>
      </c>
      <c r="D272" s="5">
        <v>215</v>
      </c>
      <c r="E272" s="5">
        <v>42</v>
      </c>
      <c r="F272" s="5">
        <v>43</v>
      </c>
      <c r="G272" s="5">
        <v>18</v>
      </c>
      <c r="H272" s="5">
        <v>25</v>
      </c>
      <c r="I272" s="5">
        <v>20</v>
      </c>
      <c r="J272" s="5">
        <f>SUM(E272:I272)</f>
        <v>148</v>
      </c>
      <c r="K272" s="5">
        <v>300</v>
      </c>
      <c r="L272" s="5">
        <v>9</v>
      </c>
      <c r="M272" s="5" t="s">
        <v>623</v>
      </c>
      <c r="N272" s="5">
        <v>10</v>
      </c>
      <c r="O272" s="5">
        <v>17</v>
      </c>
      <c r="P272" s="5"/>
      <c r="Q272" s="5"/>
      <c r="R272" s="5">
        <f>MAX(25, INT(POWER(2.2,J272/45)))</f>
        <v>25</v>
      </c>
      <c r="S272" s="5">
        <v>0</v>
      </c>
      <c r="T272" s="5">
        <v>1</v>
      </c>
      <c r="U272" s="5" t="s">
        <v>298</v>
      </c>
      <c r="V272" s="5"/>
      <c r="W272" s="5"/>
      <c r="X272" s="5"/>
      <c r="Y272" s="5" t="s">
        <v>185</v>
      </c>
      <c r="Z272" s="10" t="s">
        <v>337</v>
      </c>
      <c r="AA272" s="5" t="s">
        <v>890</v>
      </c>
      <c r="AB272" t="e">
        <f>COUNTIF([1]Sheet1!#REF!, "*"&amp; A272&amp;"*")</f>
        <v>#REF!</v>
      </c>
    </row>
    <row r="273" spans="1:28" x14ac:dyDescent="0.2">
      <c r="A273" s="5">
        <v>109006</v>
      </c>
      <c r="B273" s="5" t="s">
        <v>590</v>
      </c>
      <c r="C273" s="5">
        <v>170</v>
      </c>
      <c r="D273" s="5">
        <v>215</v>
      </c>
      <c r="E273" s="5">
        <v>29</v>
      </c>
      <c r="F273" s="5">
        <v>25</v>
      </c>
      <c r="G273" s="5">
        <v>82</v>
      </c>
      <c r="H273" s="5">
        <v>80</v>
      </c>
      <c r="I273" s="5">
        <v>70</v>
      </c>
      <c r="J273" s="5">
        <f>SUM(E273:I273)</f>
        <v>286</v>
      </c>
      <c r="K273" s="5">
        <v>300</v>
      </c>
      <c r="L273" s="5">
        <v>9</v>
      </c>
      <c r="M273" s="5" t="s">
        <v>623</v>
      </c>
      <c r="N273" s="5">
        <v>10</v>
      </c>
      <c r="O273" s="5">
        <v>17</v>
      </c>
      <c r="P273" s="5"/>
      <c r="Q273" s="5"/>
      <c r="R273" s="5">
        <f>MAX(25, INT(POWER(2.2,J273/45)))</f>
        <v>150</v>
      </c>
      <c r="S273" s="5">
        <v>0</v>
      </c>
      <c r="T273" s="5">
        <v>1</v>
      </c>
      <c r="U273" s="5" t="s">
        <v>298</v>
      </c>
      <c r="V273" s="5"/>
      <c r="W273" s="5"/>
      <c r="X273" s="5"/>
      <c r="Y273" s="5" t="s">
        <v>185</v>
      </c>
      <c r="Z273" s="10" t="s">
        <v>337</v>
      </c>
      <c r="AA273" s="5" t="s">
        <v>891</v>
      </c>
      <c r="AB273" t="e">
        <f>COUNTIF([1]Sheet1!#REF!, "*"&amp; A273&amp;"*")</f>
        <v>#REF!</v>
      </c>
    </row>
    <row r="274" spans="1:28" x14ac:dyDescent="0.2">
      <c r="A274" s="13">
        <v>100010</v>
      </c>
      <c r="B274" s="13" t="s">
        <v>157</v>
      </c>
      <c r="C274" s="13">
        <v>155</v>
      </c>
      <c r="D274" s="13">
        <v>199</v>
      </c>
      <c r="E274" s="5">
        <v>67</v>
      </c>
      <c r="F274" s="5">
        <v>65</v>
      </c>
      <c r="G274" s="5">
        <v>65</v>
      </c>
      <c r="H274" s="5">
        <v>60</v>
      </c>
      <c r="I274" s="5">
        <v>45</v>
      </c>
      <c r="J274" s="5">
        <f>SUM(E274:I274)</f>
        <v>302</v>
      </c>
      <c r="K274" s="5">
        <v>335</v>
      </c>
      <c r="L274" s="5">
        <v>10</v>
      </c>
      <c r="M274" s="5" t="s">
        <v>627</v>
      </c>
      <c r="N274" s="5">
        <v>10</v>
      </c>
      <c r="O274" s="5">
        <v>17</v>
      </c>
      <c r="P274" s="5"/>
      <c r="Q274" s="5"/>
      <c r="R274" s="5">
        <f>MAX(25, INT(POWER(2.2,J274/45)))</f>
        <v>198</v>
      </c>
      <c r="S274" s="5">
        <v>0</v>
      </c>
      <c r="T274" s="5">
        <v>1</v>
      </c>
      <c r="U274" s="5" t="s">
        <v>284</v>
      </c>
      <c r="V274" s="5"/>
      <c r="W274" s="5"/>
      <c r="X274" s="5"/>
      <c r="Y274" s="5" t="s">
        <v>184</v>
      </c>
      <c r="Z274" s="10" t="s">
        <v>71</v>
      </c>
      <c r="AA274" s="5" t="s">
        <v>558</v>
      </c>
      <c r="AB274" t="e">
        <f>COUNTIF([1]Sheet1!#REF!, "*"&amp; A274&amp;"*")</f>
        <v>#REF!</v>
      </c>
    </row>
    <row r="275" spans="1:28" x14ac:dyDescent="0.2">
      <c r="A275" s="5">
        <v>110001</v>
      </c>
      <c r="B275" s="5" t="s">
        <v>591</v>
      </c>
      <c r="C275" s="5">
        <v>165</v>
      </c>
      <c r="D275" s="5">
        <v>199</v>
      </c>
      <c r="E275" s="5">
        <v>69</v>
      </c>
      <c r="F275" s="5">
        <v>74</v>
      </c>
      <c r="G275" s="5">
        <v>50</v>
      </c>
      <c r="H275" s="5">
        <v>22</v>
      </c>
      <c r="I275" s="5">
        <v>47</v>
      </c>
      <c r="J275" s="5">
        <f>SUM(E275:I275)</f>
        <v>262</v>
      </c>
      <c r="K275" s="5">
        <v>300</v>
      </c>
      <c r="L275" s="5">
        <v>10</v>
      </c>
      <c r="M275" s="5" t="s">
        <v>627</v>
      </c>
      <c r="N275" s="5">
        <v>10</v>
      </c>
      <c r="O275" s="5">
        <v>17</v>
      </c>
      <c r="P275" s="5"/>
      <c r="Q275" s="5"/>
      <c r="R275" s="5">
        <f>MAX(25, INT(POWER(2.2,J275/45)))</f>
        <v>98</v>
      </c>
      <c r="S275" s="5">
        <v>0</v>
      </c>
      <c r="T275" s="5">
        <v>1</v>
      </c>
      <c r="U275" s="5" t="s">
        <v>298</v>
      </c>
      <c r="V275" s="5"/>
      <c r="W275" s="5"/>
      <c r="X275" s="5"/>
      <c r="Y275" s="5" t="s">
        <v>185</v>
      </c>
      <c r="Z275" s="10" t="s">
        <v>337</v>
      </c>
      <c r="AA275" s="5" t="s">
        <v>841</v>
      </c>
    </row>
    <row r="276" spans="1:28" x14ac:dyDescent="0.2">
      <c r="A276" s="5">
        <v>110002</v>
      </c>
      <c r="B276" s="5" t="s">
        <v>592</v>
      </c>
      <c r="C276" s="5">
        <v>166</v>
      </c>
      <c r="D276" s="5">
        <v>199</v>
      </c>
      <c r="E276" s="5">
        <v>78</v>
      </c>
      <c r="F276" s="5">
        <v>83</v>
      </c>
      <c r="G276" s="5">
        <v>51</v>
      </c>
      <c r="H276" s="5">
        <v>48</v>
      </c>
      <c r="I276" s="5">
        <v>55</v>
      </c>
      <c r="J276" s="5">
        <f>SUM(E276:I276)</f>
        <v>315</v>
      </c>
      <c r="K276" s="5">
        <v>300</v>
      </c>
      <c r="L276" s="5">
        <v>10</v>
      </c>
      <c r="M276" s="5" t="s">
        <v>627</v>
      </c>
      <c r="N276" s="5">
        <v>10</v>
      </c>
      <c r="O276" s="5">
        <v>17</v>
      </c>
      <c r="P276" s="5"/>
      <c r="Q276" s="5"/>
      <c r="R276" s="5">
        <f>MAX(25, INT(POWER(2.2,J276/45)))</f>
        <v>249</v>
      </c>
      <c r="S276" s="5">
        <v>0</v>
      </c>
      <c r="T276" s="5">
        <v>1</v>
      </c>
      <c r="U276" s="5" t="s">
        <v>298</v>
      </c>
      <c r="V276" s="5"/>
      <c r="W276" s="5"/>
      <c r="X276" s="5"/>
      <c r="Y276" s="5" t="s">
        <v>185</v>
      </c>
      <c r="Z276" s="10" t="s">
        <v>337</v>
      </c>
      <c r="AA276" s="5" t="s">
        <v>892</v>
      </c>
    </row>
    <row r="277" spans="1:28" x14ac:dyDescent="0.2">
      <c r="A277" s="5">
        <v>110003</v>
      </c>
      <c r="B277" s="5" t="s">
        <v>593</v>
      </c>
      <c r="C277" s="5">
        <v>168</v>
      </c>
      <c r="D277" s="5">
        <v>199</v>
      </c>
      <c r="E277" s="5">
        <v>17</v>
      </c>
      <c r="F277" s="5">
        <v>14</v>
      </c>
      <c r="G277" s="5">
        <v>39</v>
      </c>
      <c r="H277" s="5">
        <v>43</v>
      </c>
      <c r="I277" s="5">
        <v>46</v>
      </c>
      <c r="J277" s="5">
        <f>SUM(E277:I277)</f>
        <v>159</v>
      </c>
      <c r="K277" s="5">
        <v>300</v>
      </c>
      <c r="L277" s="5">
        <v>10</v>
      </c>
      <c r="M277" s="5" t="s">
        <v>627</v>
      </c>
      <c r="N277" s="5">
        <v>10</v>
      </c>
      <c r="O277" s="5">
        <v>17</v>
      </c>
      <c r="P277" s="5"/>
      <c r="Q277" s="5"/>
      <c r="R277" s="5">
        <f>MAX(25, INT(POWER(2.2,J277/45)))</f>
        <v>25</v>
      </c>
      <c r="S277" s="5">
        <v>0</v>
      </c>
      <c r="T277" s="5">
        <v>1</v>
      </c>
      <c r="U277" s="5" t="s">
        <v>298</v>
      </c>
      <c r="V277" s="5"/>
      <c r="W277" s="5"/>
      <c r="X277" s="5"/>
      <c r="Y277" s="5" t="s">
        <v>185</v>
      </c>
      <c r="Z277" s="10" t="s">
        <v>337</v>
      </c>
      <c r="AA277" s="5" t="s">
        <v>893</v>
      </c>
    </row>
    <row r="278" spans="1:28" x14ac:dyDescent="0.2">
      <c r="A278" s="5">
        <v>110004</v>
      </c>
      <c r="B278" s="5" t="s">
        <v>937</v>
      </c>
      <c r="C278" s="5">
        <v>170</v>
      </c>
      <c r="D278" s="5">
        <v>215</v>
      </c>
      <c r="E278" s="5">
        <v>30</v>
      </c>
      <c r="F278" s="5">
        <v>17</v>
      </c>
      <c r="G278" s="5">
        <v>68</v>
      </c>
      <c r="H278" s="5">
        <v>79</v>
      </c>
      <c r="I278" s="5">
        <v>83</v>
      </c>
      <c r="J278" s="5">
        <f>SUM(E278:I278)</f>
        <v>277</v>
      </c>
      <c r="K278" s="5">
        <v>300</v>
      </c>
      <c r="L278" s="5">
        <v>10</v>
      </c>
      <c r="M278" s="5" t="s">
        <v>627</v>
      </c>
      <c r="N278" s="5">
        <v>10</v>
      </c>
      <c r="O278" s="5">
        <v>17</v>
      </c>
      <c r="P278" s="5"/>
      <c r="Q278" s="5"/>
      <c r="R278" s="5">
        <f>MAX(25, INT(POWER(2.2,J278/45)))</f>
        <v>128</v>
      </c>
      <c r="S278" s="5">
        <v>0</v>
      </c>
      <c r="T278" s="5">
        <v>1</v>
      </c>
      <c r="U278" s="5" t="s">
        <v>298</v>
      </c>
      <c r="V278" s="5"/>
      <c r="W278" s="5"/>
      <c r="X278" s="5"/>
      <c r="Y278" s="5" t="s">
        <v>185</v>
      </c>
      <c r="Z278" s="10" t="s">
        <v>337</v>
      </c>
      <c r="AA278" s="5" t="s">
        <v>938</v>
      </c>
    </row>
    <row r="279" spans="1:28" x14ac:dyDescent="0.2">
      <c r="A279" s="5">
        <v>110005</v>
      </c>
      <c r="B279" s="5" t="s">
        <v>939</v>
      </c>
      <c r="C279" s="5">
        <v>170</v>
      </c>
      <c r="D279" s="5">
        <v>230</v>
      </c>
      <c r="E279" s="5">
        <v>38</v>
      </c>
      <c r="F279" s="5">
        <v>47</v>
      </c>
      <c r="G279" s="5">
        <v>38</v>
      </c>
      <c r="H279" s="5">
        <v>48</v>
      </c>
      <c r="I279" s="5">
        <v>49</v>
      </c>
      <c r="J279" s="5">
        <f>SUM(E279:I279)</f>
        <v>220</v>
      </c>
      <c r="K279" s="5">
        <v>300</v>
      </c>
      <c r="L279" s="5">
        <v>10</v>
      </c>
      <c r="M279" s="5" t="s">
        <v>627</v>
      </c>
      <c r="N279" s="5">
        <v>10</v>
      </c>
      <c r="O279" s="5">
        <v>17</v>
      </c>
      <c r="P279" s="5"/>
      <c r="Q279" s="5"/>
      <c r="R279" s="5">
        <f>MAX(25, INT(POWER(2.2,J279/45)))</f>
        <v>47</v>
      </c>
      <c r="S279" s="5">
        <v>0</v>
      </c>
      <c r="T279" s="5">
        <v>1</v>
      </c>
      <c r="U279" s="5" t="s">
        <v>298</v>
      </c>
      <c r="V279" s="5"/>
      <c r="W279" s="5"/>
      <c r="X279" s="5"/>
      <c r="Y279" s="5" t="s">
        <v>185</v>
      </c>
      <c r="Z279" s="10" t="s">
        <v>337</v>
      </c>
      <c r="AA279" s="5" t="s">
        <v>940</v>
      </c>
    </row>
    <row r="280" spans="1:28" x14ac:dyDescent="0.2">
      <c r="A280" s="5">
        <v>110006</v>
      </c>
      <c r="B280" s="5" t="s">
        <v>594</v>
      </c>
      <c r="C280" s="5">
        <v>166</v>
      </c>
      <c r="D280" s="5">
        <v>199</v>
      </c>
      <c r="E280" s="5">
        <v>72</v>
      </c>
      <c r="F280" s="5">
        <v>68</v>
      </c>
      <c r="G280" s="5">
        <v>41</v>
      </c>
      <c r="H280" s="5">
        <v>39</v>
      </c>
      <c r="I280" s="5">
        <v>59</v>
      </c>
      <c r="J280" s="5">
        <f>SUM(E280:I280)</f>
        <v>279</v>
      </c>
      <c r="K280" s="5">
        <v>300</v>
      </c>
      <c r="L280" s="5">
        <v>10</v>
      </c>
      <c r="M280" s="5" t="s">
        <v>628</v>
      </c>
      <c r="N280" s="5">
        <v>10</v>
      </c>
      <c r="O280" s="5">
        <v>17</v>
      </c>
      <c r="P280" s="5"/>
      <c r="Q280" s="5"/>
      <c r="R280" s="5">
        <f>MAX(25, INT(POWER(2.2,J280/45)))</f>
        <v>132</v>
      </c>
      <c r="S280" s="5">
        <v>0</v>
      </c>
      <c r="T280" s="5">
        <v>1</v>
      </c>
      <c r="U280" s="5" t="s">
        <v>298</v>
      </c>
      <c r="V280" s="5"/>
      <c r="W280" s="5"/>
      <c r="X280" s="5"/>
      <c r="Y280" s="5" t="s">
        <v>185</v>
      </c>
      <c r="Z280" s="10" t="s">
        <v>337</v>
      </c>
      <c r="AA280" s="5" t="s">
        <v>894</v>
      </c>
    </row>
    <row r="281" spans="1:28" x14ac:dyDescent="0.2">
      <c r="A281" s="5">
        <v>110007</v>
      </c>
      <c r="B281" s="5" t="s">
        <v>595</v>
      </c>
      <c r="C281" s="5">
        <v>165</v>
      </c>
      <c r="D281" s="5">
        <v>199</v>
      </c>
      <c r="E281" s="5">
        <v>60</v>
      </c>
      <c r="F281" s="5">
        <v>69</v>
      </c>
      <c r="G281" s="5">
        <v>41</v>
      </c>
      <c r="H281" s="5">
        <v>22</v>
      </c>
      <c r="I281" s="5">
        <v>46</v>
      </c>
      <c r="J281" s="5">
        <f>SUM(E281:I281)</f>
        <v>238</v>
      </c>
      <c r="K281" s="5">
        <v>300</v>
      </c>
      <c r="L281" s="5">
        <v>10</v>
      </c>
      <c r="M281" s="5" t="s">
        <v>627</v>
      </c>
      <c r="N281" s="5">
        <v>10</v>
      </c>
      <c r="O281" s="5">
        <v>17</v>
      </c>
      <c r="P281" s="5"/>
      <c r="Q281" s="5"/>
      <c r="R281" s="5">
        <f>MAX(25, INT(POWER(2.2,J281/45)))</f>
        <v>64</v>
      </c>
      <c r="S281" s="5">
        <v>0</v>
      </c>
      <c r="T281" s="5">
        <v>1</v>
      </c>
      <c r="U281" s="5" t="s">
        <v>298</v>
      </c>
      <c r="V281" s="5"/>
      <c r="W281" s="5"/>
      <c r="X281" s="5"/>
      <c r="Y281" s="5" t="s">
        <v>185</v>
      </c>
      <c r="Z281" s="10" t="s">
        <v>337</v>
      </c>
      <c r="AA281" s="5" t="s">
        <v>953</v>
      </c>
      <c r="AB281" t="e">
        <f>COUNTIF([1]Sheet1!#REF!, "*"&amp; A281&amp;"*")</f>
        <v>#REF!</v>
      </c>
    </row>
    <row r="282" spans="1:28" x14ac:dyDescent="0.2">
      <c r="A282" s="5">
        <v>110008</v>
      </c>
      <c r="B282" s="5" t="s">
        <v>596</v>
      </c>
      <c r="C282" s="5">
        <v>164</v>
      </c>
      <c r="D282" s="5">
        <v>199</v>
      </c>
      <c r="E282" s="5">
        <v>58</v>
      </c>
      <c r="F282" s="5">
        <v>65</v>
      </c>
      <c r="G282" s="5">
        <v>43</v>
      </c>
      <c r="H282" s="5">
        <v>48</v>
      </c>
      <c r="I282" s="5">
        <v>32</v>
      </c>
      <c r="J282" s="5">
        <f>SUM(E282:I282)</f>
        <v>246</v>
      </c>
      <c r="K282" s="5">
        <v>300</v>
      </c>
      <c r="L282" s="5">
        <v>10</v>
      </c>
      <c r="M282" s="5" t="s">
        <v>628</v>
      </c>
      <c r="N282" s="5">
        <v>10</v>
      </c>
      <c r="O282" s="5">
        <v>17</v>
      </c>
      <c r="P282" s="5"/>
      <c r="Q282" s="5"/>
      <c r="R282" s="5">
        <f>MAX(25, INT(POWER(2.2,J282/45)))</f>
        <v>74</v>
      </c>
      <c r="S282" s="5">
        <v>0</v>
      </c>
      <c r="T282" s="5">
        <v>1</v>
      </c>
      <c r="U282" s="5" t="s">
        <v>298</v>
      </c>
      <c r="V282" s="5"/>
      <c r="W282" s="5"/>
      <c r="X282" s="5"/>
      <c r="Y282" s="5" t="s">
        <v>185</v>
      </c>
      <c r="Z282" s="10" t="s">
        <v>337</v>
      </c>
      <c r="AA282" s="5" t="s">
        <v>896</v>
      </c>
    </row>
    <row r="283" spans="1:28" x14ac:dyDescent="0.2">
      <c r="A283" s="5">
        <v>110009</v>
      </c>
      <c r="B283" s="5" t="s">
        <v>597</v>
      </c>
      <c r="C283" s="5">
        <v>167</v>
      </c>
      <c r="D283" s="5">
        <v>199</v>
      </c>
      <c r="E283" s="5">
        <v>66</v>
      </c>
      <c r="F283" s="5">
        <v>69</v>
      </c>
      <c r="G283" s="5">
        <v>40</v>
      </c>
      <c r="H283" s="5">
        <v>24</v>
      </c>
      <c r="I283" s="5">
        <v>38</v>
      </c>
      <c r="J283" s="5">
        <f>SUM(E283:I283)</f>
        <v>237</v>
      </c>
      <c r="K283" s="5">
        <v>300</v>
      </c>
      <c r="L283" s="5">
        <v>10</v>
      </c>
      <c r="M283" s="5" t="s">
        <v>627</v>
      </c>
      <c r="N283" s="5">
        <v>10</v>
      </c>
      <c r="O283" s="5">
        <v>17</v>
      </c>
      <c r="P283" s="5"/>
      <c r="Q283" s="5"/>
      <c r="R283" s="5">
        <f>MAX(25, INT(POWER(2.2,J283/45)))</f>
        <v>63</v>
      </c>
      <c r="S283" s="5">
        <v>0</v>
      </c>
      <c r="T283" s="5">
        <v>1</v>
      </c>
      <c r="U283" s="5" t="s">
        <v>298</v>
      </c>
      <c r="V283" s="5"/>
      <c r="W283" s="5"/>
      <c r="X283" s="5"/>
      <c r="Y283" s="5" t="s">
        <v>185</v>
      </c>
      <c r="Z283" s="10" t="s">
        <v>337</v>
      </c>
      <c r="AA283" s="5" t="s">
        <v>895</v>
      </c>
    </row>
    <row r="284" spans="1:28" x14ac:dyDescent="0.2">
      <c r="A284" s="5">
        <v>110010</v>
      </c>
      <c r="B284" s="5" t="s">
        <v>598</v>
      </c>
      <c r="C284" s="5">
        <v>165</v>
      </c>
      <c r="D284" s="5">
        <v>200</v>
      </c>
      <c r="E284" s="5">
        <v>18</v>
      </c>
      <c r="F284" s="5">
        <v>15</v>
      </c>
      <c r="G284" s="5">
        <v>76</v>
      </c>
      <c r="H284" s="5">
        <v>62</v>
      </c>
      <c r="I284" s="5">
        <v>45</v>
      </c>
      <c r="J284" s="5">
        <f>SUM(E284:I284)</f>
        <v>216</v>
      </c>
      <c r="K284" s="5">
        <v>300</v>
      </c>
      <c r="L284" s="5">
        <v>10</v>
      </c>
      <c r="M284" s="5" t="s">
        <v>627</v>
      </c>
      <c r="N284" s="5">
        <v>10</v>
      </c>
      <c r="O284" s="5">
        <v>17</v>
      </c>
      <c r="P284" s="5"/>
      <c r="Q284" s="5"/>
      <c r="R284" s="5">
        <f>MAX(25, INT(POWER(2.2,J284/45)))</f>
        <v>44</v>
      </c>
      <c r="S284" s="5">
        <v>0</v>
      </c>
      <c r="T284" s="5">
        <v>1</v>
      </c>
      <c r="U284" s="5" t="s">
        <v>298</v>
      </c>
      <c r="V284" s="5"/>
      <c r="W284" s="5"/>
      <c r="X284" s="5"/>
      <c r="Y284" s="5" t="s">
        <v>185</v>
      </c>
      <c r="Z284" s="10" t="s">
        <v>337</v>
      </c>
      <c r="AA284" s="5" t="s">
        <v>904</v>
      </c>
    </row>
    <row r="285" spans="1:28" x14ac:dyDescent="0.2">
      <c r="A285" s="5">
        <v>110011</v>
      </c>
      <c r="B285" s="5" t="s">
        <v>599</v>
      </c>
      <c r="C285" s="5">
        <v>168</v>
      </c>
      <c r="D285" s="5">
        <v>200</v>
      </c>
      <c r="E285" s="5">
        <v>62</v>
      </c>
      <c r="F285" s="5">
        <v>70</v>
      </c>
      <c r="G285" s="5">
        <v>36</v>
      </c>
      <c r="H285" s="5">
        <v>11</v>
      </c>
      <c r="I285" s="5">
        <v>15</v>
      </c>
      <c r="J285" s="5">
        <f>SUM(E285:I285)</f>
        <v>194</v>
      </c>
      <c r="K285" s="5">
        <v>300</v>
      </c>
      <c r="L285" s="5">
        <v>10</v>
      </c>
      <c r="M285" s="5" t="s">
        <v>627</v>
      </c>
      <c r="N285" s="5">
        <v>10</v>
      </c>
      <c r="O285" s="5">
        <v>17</v>
      </c>
      <c r="P285" s="5"/>
      <c r="Q285" s="5"/>
      <c r="R285" s="5">
        <f>MAX(25, INT(POWER(2.2,J285/45)))</f>
        <v>29</v>
      </c>
      <c r="S285" s="5">
        <v>0</v>
      </c>
      <c r="T285" s="5">
        <v>1</v>
      </c>
      <c r="U285" s="5" t="s">
        <v>298</v>
      </c>
      <c r="V285" s="5"/>
      <c r="W285" s="5"/>
      <c r="X285" s="5"/>
      <c r="Y285" s="5" t="s">
        <v>185</v>
      </c>
      <c r="Z285" s="10" t="s">
        <v>337</v>
      </c>
      <c r="AA285" s="5" t="s">
        <v>905</v>
      </c>
    </row>
    <row r="286" spans="1:28" x14ac:dyDescent="0.2">
      <c r="A286" s="5">
        <v>110012</v>
      </c>
      <c r="B286" s="5" t="s">
        <v>600</v>
      </c>
      <c r="C286" s="5">
        <v>165</v>
      </c>
      <c r="D286" s="5">
        <v>200</v>
      </c>
      <c r="E286" s="5">
        <v>47</v>
      </c>
      <c r="F286" s="5">
        <v>63</v>
      </c>
      <c r="G286" s="5">
        <v>35</v>
      </c>
      <c r="H286" s="5">
        <v>16</v>
      </c>
      <c r="I286" s="5">
        <v>32</v>
      </c>
      <c r="J286" s="5">
        <f>SUM(E286:I286)</f>
        <v>193</v>
      </c>
      <c r="K286" s="5">
        <v>300</v>
      </c>
      <c r="L286" s="5">
        <v>10</v>
      </c>
      <c r="M286" s="5" t="s">
        <v>627</v>
      </c>
      <c r="N286" s="5">
        <v>10</v>
      </c>
      <c r="O286" s="5">
        <v>17</v>
      </c>
      <c r="P286" s="5"/>
      <c r="Q286" s="5"/>
      <c r="R286" s="5">
        <f>MAX(25, INT(POWER(2.2,J286/45)))</f>
        <v>29</v>
      </c>
      <c r="S286" s="5">
        <v>0</v>
      </c>
      <c r="T286" s="5">
        <v>1</v>
      </c>
      <c r="U286" s="5" t="s">
        <v>298</v>
      </c>
      <c r="V286" s="5"/>
      <c r="W286" s="5"/>
      <c r="X286" s="5"/>
      <c r="Y286" s="5" t="s">
        <v>185</v>
      </c>
      <c r="Z286" s="10" t="s">
        <v>337</v>
      </c>
      <c r="AA286" s="5" t="s">
        <v>908</v>
      </c>
    </row>
    <row r="287" spans="1:28" x14ac:dyDescent="0.2">
      <c r="A287" s="5">
        <v>110013</v>
      </c>
      <c r="B287" s="5" t="s">
        <v>601</v>
      </c>
      <c r="C287" s="5">
        <v>166</v>
      </c>
      <c r="D287" s="5">
        <v>199</v>
      </c>
      <c r="E287" s="5">
        <v>53</v>
      </c>
      <c r="F287" s="5">
        <v>66</v>
      </c>
      <c r="G287" s="5">
        <v>58</v>
      </c>
      <c r="H287" s="5">
        <v>42</v>
      </c>
      <c r="I287" s="5">
        <v>53</v>
      </c>
      <c r="J287" s="5">
        <f>SUM(E287:I287)</f>
        <v>272</v>
      </c>
      <c r="K287" s="5">
        <v>300</v>
      </c>
      <c r="L287" s="5">
        <v>10</v>
      </c>
      <c r="M287" s="5" t="s">
        <v>628</v>
      </c>
      <c r="N287" s="5">
        <v>10</v>
      </c>
      <c r="O287" s="5">
        <v>17</v>
      </c>
      <c r="P287" s="5"/>
      <c r="Q287" s="5"/>
      <c r="R287" s="5">
        <f>MAX(25, INT(POWER(2.2,J287/45)))</f>
        <v>117</v>
      </c>
      <c r="S287" s="5">
        <v>0</v>
      </c>
      <c r="T287" s="5">
        <v>1</v>
      </c>
      <c r="U287" s="5" t="s">
        <v>298</v>
      </c>
      <c r="V287" s="5"/>
      <c r="W287" s="5"/>
      <c r="X287" s="5"/>
      <c r="Y287" s="5" t="s">
        <v>185</v>
      </c>
      <c r="Z287" s="10" t="s">
        <v>337</v>
      </c>
      <c r="AA287" s="5" t="s">
        <v>901</v>
      </c>
    </row>
    <row r="288" spans="1:28" x14ac:dyDescent="0.2">
      <c r="A288" s="5">
        <v>110014</v>
      </c>
      <c r="B288" s="5" t="s">
        <v>897</v>
      </c>
      <c r="C288" s="5">
        <v>164</v>
      </c>
      <c r="D288" s="5">
        <v>199</v>
      </c>
      <c r="E288" s="5">
        <v>62</v>
      </c>
      <c r="F288" s="5">
        <v>67</v>
      </c>
      <c r="G288" s="5">
        <v>37</v>
      </c>
      <c r="H288" s="5">
        <v>40</v>
      </c>
      <c r="I288" s="5">
        <v>56</v>
      </c>
      <c r="J288" s="5">
        <f>SUM(E288:I288)</f>
        <v>262</v>
      </c>
      <c r="K288" s="5">
        <v>300</v>
      </c>
      <c r="L288" s="5">
        <v>10</v>
      </c>
      <c r="M288" s="5" t="s">
        <v>627</v>
      </c>
      <c r="N288" s="5">
        <v>10</v>
      </c>
      <c r="O288" s="5">
        <v>17</v>
      </c>
      <c r="P288" s="5"/>
      <c r="Q288" s="5"/>
      <c r="R288" s="5">
        <f>MAX(25, INT(POWER(2.2,J288/45)))</f>
        <v>98</v>
      </c>
      <c r="S288" s="5">
        <v>0</v>
      </c>
      <c r="T288" s="5">
        <v>1</v>
      </c>
      <c r="U288" s="5" t="s">
        <v>298</v>
      </c>
      <c r="V288" s="5"/>
      <c r="W288" s="5"/>
      <c r="X288" s="5"/>
      <c r="Y288" s="5" t="s">
        <v>185</v>
      </c>
      <c r="Z288" s="10" t="s">
        <v>337</v>
      </c>
      <c r="AA288" s="5" t="s">
        <v>898</v>
      </c>
    </row>
    <row r="289" spans="1:28" x14ac:dyDescent="0.2">
      <c r="A289" s="5">
        <v>110015</v>
      </c>
      <c r="B289" s="5" t="s">
        <v>602</v>
      </c>
      <c r="C289" s="5">
        <v>166</v>
      </c>
      <c r="D289" s="5">
        <v>199</v>
      </c>
      <c r="E289" s="5">
        <v>30</v>
      </c>
      <c r="F289" s="5">
        <v>27</v>
      </c>
      <c r="G289" s="5">
        <v>70</v>
      </c>
      <c r="H289" s="5">
        <v>75</v>
      </c>
      <c r="I289" s="5">
        <v>51</v>
      </c>
      <c r="J289" s="5">
        <f>SUM(E289:I289)</f>
        <v>253</v>
      </c>
      <c r="K289" s="5">
        <v>300</v>
      </c>
      <c r="L289" s="5">
        <v>10</v>
      </c>
      <c r="M289" s="5" t="s">
        <v>627</v>
      </c>
      <c r="N289" s="5">
        <v>10</v>
      </c>
      <c r="O289" s="5">
        <v>17</v>
      </c>
      <c r="P289" s="5"/>
      <c r="Q289" s="5"/>
      <c r="R289" s="5">
        <f>MAX(25, INT(POWER(2.2,J289/45)))</f>
        <v>84</v>
      </c>
      <c r="S289" s="5">
        <v>0</v>
      </c>
      <c r="T289" s="5">
        <v>1</v>
      </c>
      <c r="U289" s="5" t="s">
        <v>298</v>
      </c>
      <c r="V289" s="5"/>
      <c r="W289" s="5"/>
      <c r="X289" s="5"/>
      <c r="Y289" s="5" t="s">
        <v>185</v>
      </c>
      <c r="Z289" s="10" t="s">
        <v>337</v>
      </c>
      <c r="AA289" s="5" t="s">
        <v>899</v>
      </c>
    </row>
    <row r="290" spans="1:28" x14ac:dyDescent="0.2">
      <c r="A290" s="5">
        <v>110016</v>
      </c>
      <c r="B290" s="5" t="s">
        <v>603</v>
      </c>
      <c r="C290" s="5">
        <v>168</v>
      </c>
      <c r="D290" s="5">
        <v>199</v>
      </c>
      <c r="E290" s="5">
        <v>26</v>
      </c>
      <c r="F290" s="5">
        <v>29</v>
      </c>
      <c r="G290" s="5">
        <v>64</v>
      </c>
      <c r="H290" s="5">
        <v>55</v>
      </c>
      <c r="I290" s="5">
        <v>44</v>
      </c>
      <c r="J290" s="5">
        <f>SUM(E290:I290)</f>
        <v>218</v>
      </c>
      <c r="K290" s="5">
        <v>300</v>
      </c>
      <c r="L290" s="5">
        <v>10</v>
      </c>
      <c r="M290" s="5" t="s">
        <v>628</v>
      </c>
      <c r="N290" s="5">
        <v>10</v>
      </c>
      <c r="O290" s="5">
        <v>17</v>
      </c>
      <c r="P290" s="5"/>
      <c r="Q290" s="5"/>
      <c r="R290" s="5">
        <f>MAX(25, INT(POWER(2.2,J290/45)))</f>
        <v>45</v>
      </c>
      <c r="S290" s="5">
        <v>0</v>
      </c>
      <c r="T290" s="5">
        <v>1</v>
      </c>
      <c r="U290" s="5" t="s">
        <v>298</v>
      </c>
      <c r="V290" s="5"/>
      <c r="W290" s="5"/>
      <c r="X290" s="5"/>
      <c r="Y290" s="5" t="s">
        <v>185</v>
      </c>
      <c r="Z290" s="10" t="s">
        <v>337</v>
      </c>
      <c r="AA290" s="5" t="s">
        <v>900</v>
      </c>
    </row>
    <row r="291" spans="1:28" x14ac:dyDescent="0.2">
      <c r="A291" s="5">
        <v>110017</v>
      </c>
      <c r="B291" s="5" t="s">
        <v>604</v>
      </c>
      <c r="C291" s="5">
        <v>170</v>
      </c>
      <c r="D291" s="5">
        <v>215</v>
      </c>
      <c r="E291" s="5">
        <v>69</v>
      </c>
      <c r="F291" s="5">
        <v>72</v>
      </c>
      <c r="G291" s="5">
        <v>68</v>
      </c>
      <c r="H291" s="5">
        <v>88</v>
      </c>
      <c r="I291" s="5">
        <v>62</v>
      </c>
      <c r="J291" s="5">
        <f>SUM(E291:I291)</f>
        <v>359</v>
      </c>
      <c r="K291" s="5">
        <v>300</v>
      </c>
      <c r="L291" s="5">
        <v>10</v>
      </c>
      <c r="M291" s="5" t="s">
        <v>627</v>
      </c>
      <c r="N291" s="5">
        <v>10</v>
      </c>
      <c r="O291" s="5">
        <v>17</v>
      </c>
      <c r="P291" s="5"/>
      <c r="Q291" s="5"/>
      <c r="R291" s="5">
        <f>MAX(25, INT(POWER(2.2,J291/45)))</f>
        <v>539</v>
      </c>
      <c r="S291" s="5">
        <v>0</v>
      </c>
      <c r="T291" s="5">
        <v>1</v>
      </c>
      <c r="U291" s="5" t="s">
        <v>298</v>
      </c>
      <c r="V291" s="5"/>
      <c r="W291" s="5"/>
      <c r="X291" s="5"/>
      <c r="Y291" s="5" t="s">
        <v>185</v>
      </c>
      <c r="Z291" s="10" t="s">
        <v>337</v>
      </c>
      <c r="AA291" s="5" t="s">
        <v>834</v>
      </c>
    </row>
    <row r="292" spans="1:28" x14ac:dyDescent="0.2">
      <c r="A292" s="13">
        <v>100011</v>
      </c>
      <c r="B292" s="13" t="s">
        <v>123</v>
      </c>
      <c r="C292" s="13">
        <v>160</v>
      </c>
      <c r="D292" s="13">
        <v>199</v>
      </c>
      <c r="E292" s="5">
        <v>83</v>
      </c>
      <c r="F292" s="5">
        <v>81</v>
      </c>
      <c r="G292" s="5">
        <v>75</v>
      </c>
      <c r="H292" s="5">
        <v>46</v>
      </c>
      <c r="I292" s="5">
        <v>77</v>
      </c>
      <c r="J292" s="5">
        <f>SUM(E292:I292)</f>
        <v>362</v>
      </c>
      <c r="K292" s="5">
        <v>295</v>
      </c>
      <c r="L292" s="5">
        <v>11</v>
      </c>
      <c r="M292" s="5" t="s">
        <v>625</v>
      </c>
      <c r="N292" s="5">
        <v>10</v>
      </c>
      <c r="O292" s="5">
        <v>17</v>
      </c>
      <c r="P292" s="5"/>
      <c r="Q292" s="5"/>
      <c r="R292" s="5">
        <f>MAX(25, INT(POWER(2.2,J292/45)))</f>
        <v>568</v>
      </c>
      <c r="S292" s="5">
        <v>0</v>
      </c>
      <c r="T292" s="5">
        <v>1</v>
      </c>
      <c r="U292" s="5" t="s">
        <v>284</v>
      </c>
      <c r="V292" s="5"/>
      <c r="W292" s="5"/>
      <c r="X292" s="5"/>
      <c r="Y292" s="5" t="s">
        <v>184</v>
      </c>
      <c r="Z292" s="10" t="s">
        <v>71</v>
      </c>
      <c r="AA292" s="5" t="s">
        <v>555</v>
      </c>
    </row>
    <row r="293" spans="1:28" x14ac:dyDescent="0.2">
      <c r="A293" s="5">
        <v>111001</v>
      </c>
      <c r="B293" s="14" t="s">
        <v>575</v>
      </c>
      <c r="C293" s="14">
        <v>165</v>
      </c>
      <c r="D293" s="14">
        <v>195</v>
      </c>
      <c r="E293" s="5">
        <v>73</v>
      </c>
      <c r="F293" s="5">
        <v>69</v>
      </c>
      <c r="G293" s="5">
        <v>64</v>
      </c>
      <c r="H293" s="5">
        <v>62</v>
      </c>
      <c r="I293" s="5">
        <v>61</v>
      </c>
      <c r="J293" s="5">
        <f>SUM(E293:I293)</f>
        <v>329</v>
      </c>
      <c r="K293" s="5">
        <v>300</v>
      </c>
      <c r="L293" s="5">
        <v>11</v>
      </c>
      <c r="M293" s="5" t="s">
        <v>625</v>
      </c>
      <c r="N293" s="5">
        <v>10</v>
      </c>
      <c r="O293" s="5">
        <v>17</v>
      </c>
      <c r="P293" s="5"/>
      <c r="Q293" s="5"/>
      <c r="R293" s="5">
        <f>MAX(25, INT(POWER(2.2,J293/45)))</f>
        <v>318</v>
      </c>
      <c r="S293" s="5">
        <v>0</v>
      </c>
      <c r="T293" s="5">
        <v>1</v>
      </c>
      <c r="U293" s="5" t="s">
        <v>298</v>
      </c>
      <c r="V293" s="5"/>
      <c r="W293" s="5"/>
      <c r="X293" s="5"/>
      <c r="Y293" s="5" t="s">
        <v>185</v>
      </c>
      <c r="Z293" s="10" t="s">
        <v>337</v>
      </c>
      <c r="AA293" s="5" t="s">
        <v>792</v>
      </c>
    </row>
    <row r="294" spans="1:28" x14ac:dyDescent="0.2">
      <c r="A294" s="5">
        <v>111002</v>
      </c>
      <c r="B294" s="14" t="s">
        <v>576</v>
      </c>
      <c r="C294" s="14">
        <v>170</v>
      </c>
      <c r="D294" s="14">
        <v>199</v>
      </c>
      <c r="E294" s="5">
        <v>59</v>
      </c>
      <c r="F294" s="5">
        <v>63</v>
      </c>
      <c r="G294" s="5">
        <v>50</v>
      </c>
      <c r="H294" s="5">
        <v>59</v>
      </c>
      <c r="I294" s="5">
        <v>62</v>
      </c>
      <c r="J294" s="5">
        <f>SUM(E294:I294)</f>
        <v>293</v>
      </c>
      <c r="K294" s="5">
        <v>300</v>
      </c>
      <c r="L294" s="5">
        <v>11</v>
      </c>
      <c r="M294" s="5" t="s">
        <v>625</v>
      </c>
      <c r="N294" s="5">
        <v>10</v>
      </c>
      <c r="O294" s="5">
        <v>17</v>
      </c>
      <c r="P294" s="5"/>
      <c r="Q294" s="5"/>
      <c r="R294" s="5">
        <f>MAX(25, INT(POWER(2.2,J294/45)))</f>
        <v>169</v>
      </c>
      <c r="S294" s="5">
        <v>0</v>
      </c>
      <c r="T294" s="5">
        <v>1</v>
      </c>
      <c r="U294" s="5" t="s">
        <v>298</v>
      </c>
      <c r="V294" s="5"/>
      <c r="W294" s="5"/>
      <c r="X294" s="5"/>
      <c r="Y294" s="5" t="s">
        <v>185</v>
      </c>
      <c r="Z294" s="10" t="s">
        <v>337</v>
      </c>
      <c r="AA294" s="5" t="s">
        <v>793</v>
      </c>
    </row>
    <row r="295" spans="1:28" x14ac:dyDescent="0.2">
      <c r="A295" s="5">
        <v>111003</v>
      </c>
      <c r="B295" s="14" t="s">
        <v>577</v>
      </c>
      <c r="C295" s="14">
        <v>168</v>
      </c>
      <c r="D295" s="14">
        <v>190</v>
      </c>
      <c r="E295" s="5">
        <v>65</v>
      </c>
      <c r="F295" s="5">
        <v>64</v>
      </c>
      <c r="G295" s="5">
        <v>31</v>
      </c>
      <c r="H295" s="5">
        <v>41</v>
      </c>
      <c r="I295" s="5">
        <v>49</v>
      </c>
      <c r="J295" s="5">
        <f>SUM(E295:I295)</f>
        <v>250</v>
      </c>
      <c r="K295" s="5">
        <v>300</v>
      </c>
      <c r="L295" s="5">
        <v>11</v>
      </c>
      <c r="M295" s="5" t="s">
        <v>626</v>
      </c>
      <c r="N295" s="5">
        <v>10</v>
      </c>
      <c r="O295" s="5">
        <v>17</v>
      </c>
      <c r="P295" s="5"/>
      <c r="Q295" s="5"/>
      <c r="R295" s="5">
        <f>MAX(25, INT(POWER(2.2,J295/45)))</f>
        <v>79</v>
      </c>
      <c r="S295" s="5">
        <v>0</v>
      </c>
      <c r="T295" s="5">
        <v>1</v>
      </c>
      <c r="U295" s="5" t="s">
        <v>298</v>
      </c>
      <c r="V295" s="5"/>
      <c r="W295" s="5"/>
      <c r="X295" s="5"/>
      <c r="Y295" s="5" t="s">
        <v>185</v>
      </c>
      <c r="Z295" s="10" t="s">
        <v>337</v>
      </c>
      <c r="AA295" s="5" t="s">
        <v>794</v>
      </c>
    </row>
    <row r="296" spans="1:28" x14ac:dyDescent="0.2">
      <c r="A296" s="5">
        <v>111004</v>
      </c>
      <c r="B296" s="14" t="s">
        <v>578</v>
      </c>
      <c r="C296" s="14">
        <v>171</v>
      </c>
      <c r="D296" s="14">
        <v>252</v>
      </c>
      <c r="E296" s="5">
        <v>77</v>
      </c>
      <c r="F296" s="5">
        <v>69</v>
      </c>
      <c r="G296" s="5">
        <v>77</v>
      </c>
      <c r="H296" s="5">
        <v>75</v>
      </c>
      <c r="I296" s="5">
        <v>72</v>
      </c>
      <c r="J296" s="5">
        <f>SUM(E296:I296)</f>
        <v>370</v>
      </c>
      <c r="K296" s="5">
        <v>300</v>
      </c>
      <c r="L296" s="5">
        <v>11</v>
      </c>
      <c r="M296" s="5" t="s">
        <v>626</v>
      </c>
      <c r="N296" s="5">
        <v>10</v>
      </c>
      <c r="O296" s="5">
        <v>17</v>
      </c>
      <c r="P296" s="5"/>
      <c r="Q296" s="5"/>
      <c r="R296" s="5">
        <f>MAX(25, INT(POWER(2.2,J296/45)))</f>
        <v>653</v>
      </c>
      <c r="S296" s="5">
        <v>0</v>
      </c>
      <c r="T296" s="5">
        <v>1</v>
      </c>
      <c r="U296" s="5" t="s">
        <v>298</v>
      </c>
      <c r="V296" s="5"/>
      <c r="W296" s="5"/>
      <c r="X296" s="5"/>
      <c r="Y296" s="5" t="s">
        <v>185</v>
      </c>
      <c r="Z296" s="10" t="s">
        <v>337</v>
      </c>
      <c r="AA296" s="5" t="s">
        <v>760</v>
      </c>
    </row>
    <row r="297" spans="1:28" x14ac:dyDescent="0.2">
      <c r="A297" s="5">
        <v>111005</v>
      </c>
      <c r="B297" s="14" t="s">
        <v>579</v>
      </c>
      <c r="C297" s="14">
        <v>165</v>
      </c>
      <c r="D297" s="14">
        <v>204</v>
      </c>
      <c r="E297" s="5">
        <v>68</v>
      </c>
      <c r="F297" s="5">
        <v>65</v>
      </c>
      <c r="G297" s="5">
        <v>56</v>
      </c>
      <c r="H297" s="5">
        <v>61</v>
      </c>
      <c r="I297" s="5">
        <v>63</v>
      </c>
      <c r="J297" s="5">
        <f>SUM(E297:I297)</f>
        <v>313</v>
      </c>
      <c r="K297" s="5">
        <v>300</v>
      </c>
      <c r="L297" s="5">
        <v>11</v>
      </c>
      <c r="M297" s="5" t="s">
        <v>626</v>
      </c>
      <c r="N297" s="5">
        <v>10</v>
      </c>
      <c r="O297" s="5">
        <v>17</v>
      </c>
      <c r="P297" s="5"/>
      <c r="Q297" s="5"/>
      <c r="R297" s="5">
        <f>MAX(25, INT(POWER(2.2,J297/45)))</f>
        <v>240</v>
      </c>
      <c r="S297" s="5">
        <v>0</v>
      </c>
      <c r="T297" s="5">
        <v>1</v>
      </c>
      <c r="U297" s="5" t="s">
        <v>298</v>
      </c>
      <c r="V297" s="5"/>
      <c r="W297" s="5"/>
      <c r="X297" s="5"/>
      <c r="Y297" s="5" t="s">
        <v>185</v>
      </c>
      <c r="Z297" s="10" t="s">
        <v>337</v>
      </c>
      <c r="AA297" s="5" t="s">
        <v>795</v>
      </c>
    </row>
    <row r="298" spans="1:28" x14ac:dyDescent="0.2">
      <c r="A298" s="5">
        <v>111006</v>
      </c>
      <c r="B298" s="14" t="s">
        <v>580</v>
      </c>
      <c r="C298" s="14">
        <v>166</v>
      </c>
      <c r="D298" s="14">
        <v>199</v>
      </c>
      <c r="E298" s="5">
        <v>71</v>
      </c>
      <c r="F298" s="5">
        <v>68</v>
      </c>
      <c r="G298" s="5">
        <v>43</v>
      </c>
      <c r="H298" s="5">
        <v>49</v>
      </c>
      <c r="I298" s="5">
        <v>54</v>
      </c>
      <c r="J298" s="5">
        <f>SUM(E298:I298)</f>
        <v>285</v>
      </c>
      <c r="K298" s="5">
        <v>300</v>
      </c>
      <c r="L298" s="5">
        <v>11</v>
      </c>
      <c r="M298" s="5" t="s">
        <v>625</v>
      </c>
      <c r="N298" s="5">
        <v>10</v>
      </c>
      <c r="O298" s="5">
        <v>17</v>
      </c>
      <c r="P298" s="5"/>
      <c r="Q298" s="5"/>
      <c r="R298" s="5">
        <f>MAX(25, INT(POWER(2.2,J298/45)))</f>
        <v>147</v>
      </c>
      <c r="S298" s="5">
        <v>0</v>
      </c>
      <c r="T298" s="5">
        <v>1</v>
      </c>
      <c r="U298" s="5" t="s">
        <v>298</v>
      </c>
      <c r="V298" s="5"/>
      <c r="W298" s="5"/>
      <c r="X298" s="5"/>
      <c r="Y298" s="5" t="s">
        <v>185</v>
      </c>
      <c r="Z298" s="10" t="s">
        <v>337</v>
      </c>
      <c r="AA298" s="5" t="s">
        <v>796</v>
      </c>
    </row>
    <row r="299" spans="1:28" x14ac:dyDescent="0.2">
      <c r="A299" s="5">
        <v>111007</v>
      </c>
      <c r="B299" s="14" t="s">
        <v>581</v>
      </c>
      <c r="C299" s="14">
        <v>165</v>
      </c>
      <c r="D299" s="14">
        <v>195</v>
      </c>
      <c r="E299" s="5">
        <v>60</v>
      </c>
      <c r="F299" s="5">
        <v>63</v>
      </c>
      <c r="G299" s="5">
        <v>33</v>
      </c>
      <c r="H299" s="5">
        <v>36</v>
      </c>
      <c r="I299" s="5">
        <v>38</v>
      </c>
      <c r="J299" s="5">
        <f>SUM(E299:I299)</f>
        <v>230</v>
      </c>
      <c r="K299" s="5">
        <v>300</v>
      </c>
      <c r="L299" s="5">
        <v>11</v>
      </c>
      <c r="M299" s="5" t="s">
        <v>625</v>
      </c>
      <c r="N299" s="5">
        <v>10</v>
      </c>
      <c r="O299" s="5">
        <v>17</v>
      </c>
      <c r="P299" s="5"/>
      <c r="Q299" s="5"/>
      <c r="R299" s="5">
        <f>MAX(25, INT(POWER(2.2,J299/45)))</f>
        <v>56</v>
      </c>
      <c r="S299" s="5">
        <v>0</v>
      </c>
      <c r="T299" s="5">
        <v>1</v>
      </c>
      <c r="U299" s="5" t="s">
        <v>298</v>
      </c>
      <c r="V299" s="5"/>
      <c r="W299" s="5"/>
      <c r="X299" s="5"/>
      <c r="Y299" s="5" t="s">
        <v>185</v>
      </c>
      <c r="Z299" s="10" t="s">
        <v>337</v>
      </c>
      <c r="AA299" s="5" t="s">
        <v>797</v>
      </c>
      <c r="AB299" t="e">
        <f>COUNTIF([1]Sheet1!#REF!, "*"&amp; A299&amp;"*")</f>
        <v>#REF!</v>
      </c>
    </row>
    <row r="300" spans="1:28" x14ac:dyDescent="0.2">
      <c r="A300" s="5">
        <v>111008</v>
      </c>
      <c r="B300" s="14" t="s">
        <v>582</v>
      </c>
      <c r="C300" s="14">
        <v>160</v>
      </c>
      <c r="D300" s="14">
        <v>199</v>
      </c>
      <c r="E300" s="5">
        <v>36</v>
      </c>
      <c r="F300" s="5">
        <v>52</v>
      </c>
      <c r="G300" s="5">
        <v>72</v>
      </c>
      <c r="H300" s="5">
        <v>65</v>
      </c>
      <c r="I300" s="5">
        <v>42</v>
      </c>
      <c r="J300" s="5">
        <f>SUM(E300:I300)</f>
        <v>267</v>
      </c>
      <c r="K300" s="5">
        <v>300</v>
      </c>
      <c r="L300" s="5">
        <v>11</v>
      </c>
      <c r="M300" s="5" t="s">
        <v>625</v>
      </c>
      <c r="N300" s="5">
        <v>10</v>
      </c>
      <c r="O300" s="5">
        <v>17</v>
      </c>
      <c r="P300" s="5"/>
      <c r="Q300" s="5"/>
      <c r="R300" s="5">
        <f>MAX(25, INT(POWER(2.2,J300/45)))</f>
        <v>107</v>
      </c>
      <c r="S300" s="5">
        <v>0</v>
      </c>
      <c r="T300" s="5">
        <v>1</v>
      </c>
      <c r="U300" s="5" t="s">
        <v>298</v>
      </c>
      <c r="V300" s="5"/>
      <c r="W300" s="5"/>
      <c r="X300" s="5"/>
      <c r="Y300" s="5" t="s">
        <v>185</v>
      </c>
      <c r="Z300" s="10" t="s">
        <v>337</v>
      </c>
      <c r="AA300" s="5" t="s">
        <v>798</v>
      </c>
      <c r="AB300" t="e">
        <f>COUNTIF([1]Sheet1!#REF!, "*"&amp; A300&amp;"*")</f>
        <v>#REF!</v>
      </c>
    </row>
    <row r="301" spans="1:28" x14ac:dyDescent="0.2">
      <c r="A301" s="5">
        <v>111009</v>
      </c>
      <c r="B301" s="14" t="s">
        <v>19</v>
      </c>
      <c r="C301" s="14">
        <v>168</v>
      </c>
      <c r="D301" s="14">
        <v>229</v>
      </c>
      <c r="E301" s="5">
        <v>91</v>
      </c>
      <c r="F301" s="5">
        <v>96</v>
      </c>
      <c r="G301" s="5">
        <v>76</v>
      </c>
      <c r="H301" s="5">
        <v>65</v>
      </c>
      <c r="I301" s="5">
        <v>81</v>
      </c>
      <c r="J301" s="5">
        <f>SUM(E301:I301)</f>
        <v>409</v>
      </c>
      <c r="K301" s="5">
        <v>300</v>
      </c>
      <c r="L301" s="5">
        <v>11</v>
      </c>
      <c r="M301" s="5" t="s">
        <v>625</v>
      </c>
      <c r="N301" s="5">
        <v>10</v>
      </c>
      <c r="O301" s="5">
        <v>17</v>
      </c>
      <c r="P301" s="5"/>
      <c r="Q301" s="5"/>
      <c r="R301" s="5">
        <f>MAX(25, INT(POWER(2.2,J301/45)))</f>
        <v>1294</v>
      </c>
      <c r="S301" s="5">
        <v>0</v>
      </c>
      <c r="T301" s="5">
        <v>1</v>
      </c>
      <c r="U301" s="5" t="s">
        <v>298</v>
      </c>
      <c r="V301" s="5"/>
      <c r="W301" s="5" t="s">
        <v>271</v>
      </c>
      <c r="X301" s="5" t="s">
        <v>385</v>
      </c>
      <c r="Y301" s="5" t="s">
        <v>185</v>
      </c>
      <c r="Z301" s="10" t="s">
        <v>338</v>
      </c>
      <c r="AA301" s="5" t="s">
        <v>408</v>
      </c>
      <c r="AB301" t="e">
        <f>COUNTIF([1]Sheet1!#REF!, "*"&amp; A301&amp;"*")</f>
        <v>#REF!</v>
      </c>
    </row>
    <row r="302" spans="1:28" x14ac:dyDescent="0.2">
      <c r="A302" s="13">
        <v>100012</v>
      </c>
      <c r="B302" s="13" t="s">
        <v>573</v>
      </c>
      <c r="C302" s="13">
        <v>150</v>
      </c>
      <c r="D302" s="13">
        <v>204</v>
      </c>
      <c r="E302" s="5">
        <v>67</v>
      </c>
      <c r="F302" s="5">
        <v>71</v>
      </c>
      <c r="G302" s="5">
        <v>66</v>
      </c>
      <c r="H302" s="5">
        <v>51</v>
      </c>
      <c r="I302" s="5">
        <v>55</v>
      </c>
      <c r="J302" s="5">
        <f>SUM(E302:I302)</f>
        <v>310</v>
      </c>
      <c r="K302" s="5">
        <v>295</v>
      </c>
      <c r="L302" s="5">
        <v>12</v>
      </c>
      <c r="M302" s="5" t="s">
        <v>619</v>
      </c>
      <c r="N302" s="5">
        <v>10</v>
      </c>
      <c r="O302" s="5">
        <v>17</v>
      </c>
      <c r="P302" s="5"/>
      <c r="Q302" s="5"/>
      <c r="R302" s="5">
        <f>MAX(25, INT(POWER(2.2,J302/45)))</f>
        <v>228</v>
      </c>
      <c r="S302" s="5">
        <v>0</v>
      </c>
      <c r="T302" s="5">
        <v>1</v>
      </c>
      <c r="U302" s="5" t="s">
        <v>284</v>
      </c>
      <c r="V302" s="5"/>
      <c r="W302" s="5"/>
      <c r="X302" s="5"/>
      <c r="Y302" s="5" t="s">
        <v>184</v>
      </c>
      <c r="Z302" s="10" t="s">
        <v>71</v>
      </c>
      <c r="AA302" s="5" t="s">
        <v>574</v>
      </c>
      <c r="AB302" t="e">
        <f>COUNTIF([1]Sheet1!#REF!, "*"&amp; A302&amp;"*")</f>
        <v>#REF!</v>
      </c>
    </row>
    <row r="303" spans="1:28" x14ac:dyDescent="0.2">
      <c r="A303" s="5">
        <v>112001</v>
      </c>
      <c r="B303" s="14" t="s">
        <v>583</v>
      </c>
      <c r="C303" s="14">
        <v>170</v>
      </c>
      <c r="D303" s="14">
        <v>230</v>
      </c>
      <c r="E303" s="5">
        <v>37</v>
      </c>
      <c r="F303" s="5">
        <v>16</v>
      </c>
      <c r="G303" s="5">
        <v>64</v>
      </c>
      <c r="H303" s="5">
        <v>57</v>
      </c>
      <c r="I303" s="5">
        <v>39</v>
      </c>
      <c r="J303" s="5">
        <f>SUM(E303:I303)</f>
        <v>213</v>
      </c>
      <c r="K303" s="5">
        <v>300</v>
      </c>
      <c r="L303" s="5">
        <v>12</v>
      </c>
      <c r="M303" s="5" t="s">
        <v>619</v>
      </c>
      <c r="N303" s="5">
        <v>10</v>
      </c>
      <c r="O303" s="5">
        <v>17</v>
      </c>
      <c r="P303" s="5"/>
      <c r="Q303" s="5"/>
      <c r="R303" s="5">
        <f>MAX(25, INT(POWER(2.2,J303/45)))</f>
        <v>41</v>
      </c>
      <c r="S303" s="5">
        <v>0</v>
      </c>
      <c r="T303" s="5">
        <v>1</v>
      </c>
      <c r="U303" s="5" t="s">
        <v>298</v>
      </c>
      <c r="V303" s="5"/>
      <c r="W303" s="5"/>
      <c r="X303" s="5"/>
      <c r="Y303" s="5" t="s">
        <v>185</v>
      </c>
      <c r="Z303" s="10" t="s">
        <v>337</v>
      </c>
      <c r="AA303" s="5" t="s">
        <v>790</v>
      </c>
      <c r="AB303" t="e">
        <f>COUNTIF([1]Sheet1!#REF!, "*"&amp; A303&amp;"*")</f>
        <v>#REF!</v>
      </c>
    </row>
    <row r="304" spans="1:28" x14ac:dyDescent="0.2">
      <c r="A304" s="5">
        <v>112002</v>
      </c>
      <c r="B304" s="14" t="s">
        <v>584</v>
      </c>
      <c r="C304" s="14">
        <v>170</v>
      </c>
      <c r="D304" s="14">
        <v>221</v>
      </c>
      <c r="E304" s="5">
        <v>69</v>
      </c>
      <c r="F304" s="5">
        <v>63</v>
      </c>
      <c r="G304" s="5">
        <v>58</v>
      </c>
      <c r="H304" s="5">
        <v>55</v>
      </c>
      <c r="I304" s="5">
        <v>53</v>
      </c>
      <c r="J304" s="5">
        <f>SUM(E304:I304)</f>
        <v>298</v>
      </c>
      <c r="K304" s="5">
        <v>300</v>
      </c>
      <c r="L304" s="5">
        <v>12</v>
      </c>
      <c r="M304" s="5" t="s">
        <v>619</v>
      </c>
      <c r="N304" s="5">
        <v>10</v>
      </c>
      <c r="O304" s="5">
        <v>17</v>
      </c>
      <c r="P304" s="5"/>
      <c r="Q304" s="5"/>
      <c r="R304" s="5">
        <f>MAX(25, INT(POWER(2.2,J304/45)))</f>
        <v>185</v>
      </c>
      <c r="S304" s="5">
        <v>0</v>
      </c>
      <c r="T304" s="5">
        <v>1</v>
      </c>
      <c r="U304" s="5" t="s">
        <v>298</v>
      </c>
      <c r="V304" s="5"/>
      <c r="W304" s="5"/>
      <c r="X304" s="5"/>
      <c r="Y304" s="5" t="s">
        <v>185</v>
      </c>
      <c r="Z304" s="10" t="s">
        <v>337</v>
      </c>
      <c r="AA304" s="5" t="s">
        <v>791</v>
      </c>
      <c r="AB304" t="e">
        <f>COUNTIF([1]Sheet1!#REF!, "*"&amp; A304&amp;"*")</f>
        <v>#REF!</v>
      </c>
    </row>
    <row r="305" spans="1:28" x14ac:dyDescent="0.2">
      <c r="A305" s="13">
        <v>100020</v>
      </c>
      <c r="B305" s="13" t="s">
        <v>199</v>
      </c>
      <c r="C305" s="13">
        <v>236</v>
      </c>
      <c r="D305" s="13">
        <v>290</v>
      </c>
      <c r="E305" s="5">
        <v>69</v>
      </c>
      <c r="F305" s="5">
        <v>59</v>
      </c>
      <c r="G305" s="5">
        <v>77</v>
      </c>
      <c r="H305" s="5">
        <v>85</v>
      </c>
      <c r="I305" s="5">
        <v>75</v>
      </c>
      <c r="J305" s="5">
        <f>SUM(E305:I305)</f>
        <v>365</v>
      </c>
      <c r="K305" s="5">
        <v>385</v>
      </c>
      <c r="L305" s="5">
        <v>99</v>
      </c>
      <c r="M305" s="5"/>
      <c r="N305" s="5">
        <v>10</v>
      </c>
      <c r="O305" s="5">
        <v>17</v>
      </c>
      <c r="P305" s="5"/>
      <c r="Q305" s="5"/>
      <c r="R305" s="5">
        <v>0</v>
      </c>
      <c r="S305" s="5">
        <v>0</v>
      </c>
      <c r="T305" s="5">
        <v>1</v>
      </c>
      <c r="U305" s="5" t="s">
        <v>284</v>
      </c>
      <c r="V305" s="5"/>
      <c r="W305" s="5"/>
      <c r="X305" s="5"/>
      <c r="Y305" s="5" t="s">
        <v>184</v>
      </c>
      <c r="Z305" s="10" t="s">
        <v>71</v>
      </c>
      <c r="AA305" s="5" t="s">
        <v>200</v>
      </c>
      <c r="AB305" t="e">
        <f>COUNTIF([1]Sheet1!#REF!, "*"&amp; A305&amp;"*")</f>
        <v>#REF!</v>
      </c>
    </row>
    <row r="306" spans="1:28" x14ac:dyDescent="0.2">
      <c r="A306" s="5">
        <v>120001</v>
      </c>
      <c r="B306" s="5" t="s">
        <v>55</v>
      </c>
      <c r="C306" s="5">
        <v>197</v>
      </c>
      <c r="D306" s="5">
        <v>264</v>
      </c>
      <c r="E306" s="5">
        <v>94</v>
      </c>
      <c r="F306" s="5">
        <v>87</v>
      </c>
      <c r="G306" s="5">
        <v>89</v>
      </c>
      <c r="H306" s="5">
        <v>88</v>
      </c>
      <c r="I306" s="5">
        <v>75</v>
      </c>
      <c r="J306" s="5">
        <f>SUM(E306:I306)</f>
        <v>433</v>
      </c>
      <c r="K306" s="5">
        <v>295</v>
      </c>
      <c r="L306" s="5">
        <v>99</v>
      </c>
      <c r="M306" s="5"/>
      <c r="N306" s="5">
        <v>10</v>
      </c>
      <c r="O306" s="5">
        <v>17</v>
      </c>
      <c r="P306" s="5"/>
      <c r="Q306" s="5"/>
      <c r="R306" s="5">
        <f>MAX(25, INT(POWER(2.2,J306/45)))</f>
        <v>1971</v>
      </c>
      <c r="S306" s="5">
        <v>0</v>
      </c>
      <c r="T306" s="5">
        <v>1</v>
      </c>
      <c r="U306" s="5" t="s">
        <v>288</v>
      </c>
      <c r="V306" s="5"/>
      <c r="W306" s="5" t="s">
        <v>342</v>
      </c>
      <c r="Y306" s="5" t="s">
        <v>185</v>
      </c>
      <c r="Z306" s="10" t="s">
        <v>71</v>
      </c>
      <c r="AA306" s="5" t="s">
        <v>538</v>
      </c>
      <c r="AB306" t="e">
        <f>COUNTIF([1]Sheet1!#REF!, "*"&amp; A306&amp;"*")</f>
        <v>#REF!</v>
      </c>
    </row>
    <row r="307" spans="1:28" x14ac:dyDescent="0.2">
      <c r="A307" s="5">
        <v>120002</v>
      </c>
      <c r="B307" s="5" t="s">
        <v>115</v>
      </c>
      <c r="C307" s="5">
        <v>208</v>
      </c>
      <c r="D307" s="5">
        <v>255</v>
      </c>
      <c r="E307" s="5">
        <v>80</v>
      </c>
      <c r="F307" s="5">
        <v>67</v>
      </c>
      <c r="G307" s="5">
        <v>87</v>
      </c>
      <c r="H307" s="5">
        <v>82</v>
      </c>
      <c r="I307" s="5">
        <v>70</v>
      </c>
      <c r="J307" s="5">
        <f>SUM(E307:I307)</f>
        <v>386</v>
      </c>
      <c r="K307" s="5">
        <v>280</v>
      </c>
      <c r="L307" s="5">
        <v>99</v>
      </c>
      <c r="M307" s="5"/>
      <c r="N307" s="5">
        <v>10</v>
      </c>
      <c r="O307" s="5">
        <v>17</v>
      </c>
      <c r="P307" s="5">
        <v>18</v>
      </c>
      <c r="Q307" s="5"/>
      <c r="R307" s="5">
        <f>MAX(25, INT(POWER(2.2,J307/45)))</f>
        <v>865</v>
      </c>
      <c r="S307" s="5">
        <v>0</v>
      </c>
      <c r="T307" s="5">
        <v>3</v>
      </c>
      <c r="U307" s="5" t="s">
        <v>292</v>
      </c>
      <c r="V307" s="5"/>
      <c r="Y307" s="5" t="s">
        <v>194</v>
      </c>
      <c r="Z307" s="10" t="s">
        <v>334</v>
      </c>
      <c r="AA307" s="5" t="s">
        <v>539</v>
      </c>
      <c r="AB307" t="e">
        <f>COUNTIF([1]Sheet1!#REF!, "*"&amp; A307&amp;"*")</f>
        <v>#REF!</v>
      </c>
    </row>
    <row r="308" spans="1:28" x14ac:dyDescent="0.2">
      <c r="A308" s="5">
        <v>120003</v>
      </c>
      <c r="B308" s="5" t="s">
        <v>116</v>
      </c>
      <c r="C308" s="5">
        <v>211</v>
      </c>
      <c r="D308" s="5">
        <v>265</v>
      </c>
      <c r="E308" s="5">
        <v>78</v>
      </c>
      <c r="F308" s="5">
        <v>57</v>
      </c>
      <c r="G308" s="5">
        <v>87</v>
      </c>
      <c r="H308" s="5">
        <v>84</v>
      </c>
      <c r="I308" s="5">
        <v>65</v>
      </c>
      <c r="J308" s="5">
        <f>SUM(E308:I308)</f>
        <v>371</v>
      </c>
      <c r="K308" s="5">
        <v>290</v>
      </c>
      <c r="L308" s="5">
        <v>99</v>
      </c>
      <c r="M308" s="5"/>
      <c r="N308" s="5">
        <v>10</v>
      </c>
      <c r="O308" s="5">
        <v>17</v>
      </c>
      <c r="P308" s="5">
        <v>18</v>
      </c>
      <c r="Q308" s="5"/>
      <c r="R308" s="5">
        <f>MAX(25, INT(POWER(2.2,J308/45)))</f>
        <v>665</v>
      </c>
      <c r="S308" s="5">
        <v>0</v>
      </c>
      <c r="T308" s="5">
        <v>3</v>
      </c>
      <c r="U308" s="5" t="s">
        <v>292</v>
      </c>
      <c r="V308" s="5"/>
      <c r="W308" s="12" t="s">
        <v>398</v>
      </c>
      <c r="Y308" s="5" t="s">
        <v>194</v>
      </c>
      <c r="Z308" s="10" t="s">
        <v>334</v>
      </c>
      <c r="AA308" s="5" t="s">
        <v>540</v>
      </c>
      <c r="AB308" t="e">
        <f>COUNTIF([1]Sheet1!#REF!, "*"&amp; A308&amp;"*")</f>
        <v>#REF!</v>
      </c>
    </row>
    <row r="309" spans="1:28" x14ac:dyDescent="0.2">
      <c r="A309" s="5">
        <v>120004</v>
      </c>
      <c r="B309" s="5" t="s">
        <v>215</v>
      </c>
      <c r="C309" s="5">
        <v>221</v>
      </c>
      <c r="D309" s="5">
        <v>278</v>
      </c>
      <c r="E309" s="5">
        <v>90</v>
      </c>
      <c r="F309" s="5">
        <v>64</v>
      </c>
      <c r="G309" s="5">
        <v>84</v>
      </c>
      <c r="H309" s="5">
        <v>90</v>
      </c>
      <c r="I309" s="5">
        <v>92</v>
      </c>
      <c r="J309" s="5">
        <f>SUM(E309:I309)</f>
        <v>420</v>
      </c>
      <c r="K309" s="5">
        <v>320</v>
      </c>
      <c r="L309" s="5">
        <v>99</v>
      </c>
      <c r="M309" s="5"/>
      <c r="N309" s="5">
        <v>10</v>
      </c>
      <c r="O309" s="5">
        <v>17</v>
      </c>
      <c r="P309" s="5"/>
      <c r="Q309" s="5"/>
      <c r="R309" s="5">
        <f>MAX(25, INT(POWER(2.2,J309/45)))</f>
        <v>1570</v>
      </c>
      <c r="S309" s="5">
        <v>0</v>
      </c>
      <c r="T309" s="5">
        <v>1</v>
      </c>
      <c r="U309" s="5" t="s">
        <v>287</v>
      </c>
      <c r="V309" s="5"/>
      <c r="W309" t="s">
        <v>366</v>
      </c>
      <c r="Y309" s="5" t="s">
        <v>186</v>
      </c>
      <c r="Z309" s="10" t="s">
        <v>71</v>
      </c>
      <c r="AA309" s="5" t="s">
        <v>541</v>
      </c>
      <c r="AB309" t="e">
        <f>COUNTIF([1]Sheet1!#REF!, "*"&amp; A309&amp;"*")</f>
        <v>#REF!</v>
      </c>
    </row>
    <row r="310" spans="1:28" x14ac:dyDescent="0.2">
      <c r="A310" s="5">
        <v>120005</v>
      </c>
      <c r="B310" s="5" t="s">
        <v>81</v>
      </c>
      <c r="C310" s="5">
        <v>225</v>
      </c>
      <c r="D310" s="5">
        <v>264</v>
      </c>
      <c r="E310" s="5">
        <v>82</v>
      </c>
      <c r="F310" s="5">
        <v>58</v>
      </c>
      <c r="G310" s="5">
        <v>92</v>
      </c>
      <c r="H310" s="5">
        <v>85</v>
      </c>
      <c r="I310" s="5">
        <v>65</v>
      </c>
      <c r="J310" s="5">
        <f>SUM(E310:I310)</f>
        <v>382</v>
      </c>
      <c r="K310" s="5">
        <v>290</v>
      </c>
      <c r="L310" s="5">
        <v>99</v>
      </c>
      <c r="M310" s="5"/>
      <c r="N310" s="5">
        <v>10</v>
      </c>
      <c r="O310" s="5">
        <v>17</v>
      </c>
      <c r="P310" s="5">
        <v>15</v>
      </c>
      <c r="Q310" s="5"/>
      <c r="R310" s="5">
        <f>MAX(25, INT(POWER(2.2,J310/45)))</f>
        <v>806</v>
      </c>
      <c r="S310" s="5">
        <v>0</v>
      </c>
      <c r="T310" s="5">
        <v>3</v>
      </c>
      <c r="U310" s="5" t="s">
        <v>291</v>
      </c>
      <c r="V310" s="5"/>
      <c r="W310" s="5" t="s">
        <v>382</v>
      </c>
      <c r="Y310" s="5" t="s">
        <v>188</v>
      </c>
      <c r="Z310" s="10" t="s">
        <v>70</v>
      </c>
      <c r="AA310" s="5" t="s">
        <v>542</v>
      </c>
      <c r="AB310" t="e">
        <f>COUNTIF([1]Sheet1!#REF!, "*"&amp; A310&amp;"*")</f>
        <v>#REF!</v>
      </c>
    </row>
    <row r="311" spans="1:28" x14ac:dyDescent="0.2">
      <c r="A311" s="5">
        <v>120006</v>
      </c>
      <c r="B311" s="5" t="s">
        <v>137</v>
      </c>
      <c r="C311" s="5">
        <v>200</v>
      </c>
      <c r="D311" s="5">
        <v>260</v>
      </c>
      <c r="E311" s="5">
        <v>86</v>
      </c>
      <c r="F311" s="5">
        <v>77</v>
      </c>
      <c r="G311" s="5">
        <v>84</v>
      </c>
      <c r="H311" s="5">
        <v>86</v>
      </c>
      <c r="I311" s="5">
        <v>80</v>
      </c>
      <c r="J311" s="5">
        <f>SUM(E311:I311)</f>
        <v>413</v>
      </c>
      <c r="K311" s="5">
        <v>280</v>
      </c>
      <c r="L311" s="5">
        <v>99</v>
      </c>
      <c r="M311" s="5"/>
      <c r="N311" s="5">
        <v>10</v>
      </c>
      <c r="O311" s="5">
        <v>17</v>
      </c>
      <c r="P311" s="5"/>
      <c r="Q311" s="5"/>
      <c r="R311" s="5">
        <f>MAX(25, INT(POWER(2.2,J311/45)))</f>
        <v>1388</v>
      </c>
      <c r="S311" s="5">
        <v>0</v>
      </c>
      <c r="T311" s="5">
        <v>1</v>
      </c>
      <c r="U311" s="5" t="s">
        <v>285</v>
      </c>
      <c r="V311" s="5"/>
      <c r="W311" t="s">
        <v>376</v>
      </c>
      <c r="Y311" s="5" t="s">
        <v>221</v>
      </c>
      <c r="Z311" s="10" t="s">
        <v>71</v>
      </c>
      <c r="AA311" s="5" t="s">
        <v>543</v>
      </c>
      <c r="AB311" t="e">
        <f>COUNTIF([1]Sheet1!#REF!, "*"&amp; A311&amp;"*")</f>
        <v>#REF!</v>
      </c>
    </row>
    <row r="312" spans="1:28" x14ac:dyDescent="0.2">
      <c r="A312" s="5">
        <v>120007</v>
      </c>
      <c r="B312" s="5" t="s">
        <v>198</v>
      </c>
      <c r="C312" s="5">
        <v>222</v>
      </c>
      <c r="D312" s="5">
        <v>285</v>
      </c>
      <c r="E312" s="5">
        <v>84</v>
      </c>
      <c r="F312" s="5">
        <v>30</v>
      </c>
      <c r="G312" s="5">
        <v>85</v>
      </c>
      <c r="H312" s="5">
        <v>89</v>
      </c>
      <c r="I312" s="5">
        <v>78</v>
      </c>
      <c r="J312" s="5">
        <f>SUM(E312:I312)</f>
        <v>366</v>
      </c>
      <c r="K312" s="5">
        <v>320</v>
      </c>
      <c r="L312" s="5">
        <v>99</v>
      </c>
      <c r="M312" s="5"/>
      <c r="N312" s="5">
        <v>10</v>
      </c>
      <c r="O312" s="5">
        <v>17</v>
      </c>
      <c r="P312" s="5">
        <v>18</v>
      </c>
      <c r="Q312" s="5"/>
      <c r="R312" s="5">
        <f>MAX(25, INT(POWER(2.2,J312/45)))</f>
        <v>609</v>
      </c>
      <c r="S312" s="5">
        <v>0</v>
      </c>
      <c r="T312" s="5">
        <v>3</v>
      </c>
      <c r="U312" s="5" t="s">
        <v>292</v>
      </c>
      <c r="V312" s="5"/>
      <c r="W312" t="s">
        <v>321</v>
      </c>
      <c r="Y312" s="5" t="s">
        <v>188</v>
      </c>
      <c r="Z312" s="10" t="s">
        <v>334</v>
      </c>
      <c r="AA312" s="5" t="s">
        <v>544</v>
      </c>
      <c r="AB312" t="e">
        <f>COUNTIF([1]Sheet1!#REF!, "*"&amp; A312&amp;"*")</f>
        <v>#REF!</v>
      </c>
    </row>
    <row r="313" spans="1:28" x14ac:dyDescent="0.2">
      <c r="A313" s="5">
        <v>120008</v>
      </c>
      <c r="B313" s="5" t="s">
        <v>218</v>
      </c>
      <c r="C313" s="5">
        <v>206</v>
      </c>
      <c r="D313" s="5">
        <v>286</v>
      </c>
      <c r="E313" s="5">
        <v>80</v>
      </c>
      <c r="F313" s="5">
        <v>52</v>
      </c>
      <c r="G313" s="5">
        <v>79</v>
      </c>
      <c r="H313" s="5">
        <v>82</v>
      </c>
      <c r="I313" s="5">
        <v>75</v>
      </c>
      <c r="J313" s="5">
        <f>SUM(E313:I313)</f>
        <v>368</v>
      </c>
      <c r="K313" s="5">
        <v>340</v>
      </c>
      <c r="L313" s="5">
        <v>99</v>
      </c>
      <c r="M313" s="5"/>
      <c r="N313" s="5">
        <v>10</v>
      </c>
      <c r="O313" s="5">
        <v>17</v>
      </c>
      <c r="P313" s="5"/>
      <c r="Q313" s="5"/>
      <c r="R313" s="5">
        <f>MAX(25, INT(POWER(2.2,J313/45)))</f>
        <v>631</v>
      </c>
      <c r="S313" s="5">
        <v>0</v>
      </c>
      <c r="T313" s="5">
        <v>1</v>
      </c>
      <c r="U313" s="5" t="s">
        <v>287</v>
      </c>
      <c r="V313" s="5"/>
      <c r="W313" t="s">
        <v>367</v>
      </c>
      <c r="Y313" s="5" t="s">
        <v>307</v>
      </c>
      <c r="Z313" s="10" t="s">
        <v>71</v>
      </c>
      <c r="AA313" s="5" t="s">
        <v>545</v>
      </c>
      <c r="AB313" t="e">
        <f>COUNTIF([1]Sheet1!#REF!, "*"&amp; A313&amp;"*")</f>
        <v>#REF!</v>
      </c>
    </row>
    <row r="314" spans="1:28" x14ac:dyDescent="0.2">
      <c r="A314" s="5">
        <v>120009</v>
      </c>
      <c r="B314" s="5" t="s">
        <v>246</v>
      </c>
      <c r="C314" s="5">
        <v>191</v>
      </c>
      <c r="D314" s="5">
        <v>269</v>
      </c>
      <c r="E314" s="5">
        <v>42</v>
      </c>
      <c r="F314" s="5">
        <v>28</v>
      </c>
      <c r="G314" s="5">
        <v>84</v>
      </c>
      <c r="H314" s="5">
        <v>80</v>
      </c>
      <c r="I314" s="5">
        <v>82</v>
      </c>
      <c r="J314" s="5">
        <f>SUM(E314:I314)</f>
        <v>316</v>
      </c>
      <c r="K314" s="5">
        <v>310</v>
      </c>
      <c r="L314" s="5">
        <v>99</v>
      </c>
      <c r="M314" s="5"/>
      <c r="N314" s="5">
        <v>10</v>
      </c>
      <c r="O314" s="5">
        <v>17</v>
      </c>
      <c r="P314" s="5">
        <v>15</v>
      </c>
      <c r="Q314" s="5"/>
      <c r="R314" s="5">
        <f>MAX(25, INT(POWER(2.2,J314/45)))</f>
        <v>253</v>
      </c>
      <c r="S314" s="5">
        <v>0</v>
      </c>
      <c r="T314" s="5">
        <v>3</v>
      </c>
      <c r="U314" s="5" t="s">
        <v>293</v>
      </c>
      <c r="V314" s="5"/>
      <c r="W314" t="s">
        <v>382</v>
      </c>
      <c r="Y314" s="5" t="s">
        <v>188</v>
      </c>
      <c r="Z314" s="10" t="s">
        <v>332</v>
      </c>
      <c r="AA314" s="5" t="s">
        <v>546</v>
      </c>
      <c r="AB314" t="e">
        <f>COUNTIF([1]Sheet1!#REF!, "*"&amp; A314&amp;"*")</f>
        <v>#REF!</v>
      </c>
    </row>
    <row r="315" spans="1:28" x14ac:dyDescent="0.2">
      <c r="A315" s="5">
        <v>199001</v>
      </c>
      <c r="B315" s="5" t="s">
        <v>100</v>
      </c>
      <c r="C315" s="5">
        <v>175</v>
      </c>
      <c r="D315" s="5">
        <v>200</v>
      </c>
      <c r="E315" s="5">
        <v>96</v>
      </c>
      <c r="F315" s="5">
        <v>93</v>
      </c>
      <c r="G315" s="5">
        <v>74</v>
      </c>
      <c r="H315" s="5">
        <v>75</v>
      </c>
      <c r="I315" s="5">
        <v>94</v>
      </c>
      <c r="J315" s="5">
        <f>SUM(E315:I315)</f>
        <v>432</v>
      </c>
      <c r="K315" s="5">
        <v>260</v>
      </c>
      <c r="L315" s="5">
        <v>99</v>
      </c>
      <c r="M315" s="5"/>
      <c r="N315" s="5">
        <v>10</v>
      </c>
      <c r="O315" s="5">
        <v>17</v>
      </c>
      <c r="P315" s="5"/>
      <c r="Q315" s="5"/>
      <c r="R315" s="5">
        <f>MAX(25, INT(POWER(2.2,J315/45)))</f>
        <v>1937</v>
      </c>
      <c r="S315" s="5">
        <v>0</v>
      </c>
      <c r="T315" s="5">
        <v>1</v>
      </c>
      <c r="U315" s="5" t="s">
        <v>286</v>
      </c>
      <c r="V315" s="5"/>
      <c r="W315" s="5" t="s">
        <v>270</v>
      </c>
      <c r="X315" s="5"/>
      <c r="Y315" s="5" t="s">
        <v>186</v>
      </c>
      <c r="Z315" s="10" t="s">
        <v>71</v>
      </c>
      <c r="AA315" s="5" t="s">
        <v>491</v>
      </c>
      <c r="AB315" t="e">
        <f>COUNTIF([1]Sheet1!#REF!, "*"&amp; A315&amp;"*")</f>
        <v>#REF!</v>
      </c>
    </row>
    <row r="316" spans="1:28" x14ac:dyDescent="0.2">
      <c r="A316" s="5">
        <v>199002</v>
      </c>
      <c r="B316" s="5" t="s">
        <v>23</v>
      </c>
      <c r="C316" s="5">
        <v>181</v>
      </c>
      <c r="D316" s="5">
        <v>234</v>
      </c>
      <c r="E316" s="5">
        <v>98</v>
      </c>
      <c r="F316" s="5">
        <v>45</v>
      </c>
      <c r="G316" s="5">
        <v>100</v>
      </c>
      <c r="H316" s="5">
        <v>99</v>
      </c>
      <c r="I316" s="5">
        <v>92</v>
      </c>
      <c r="J316" s="5">
        <f>SUM(E316:I316)</f>
        <v>434</v>
      </c>
      <c r="K316" s="5">
        <v>245</v>
      </c>
      <c r="L316" s="5">
        <v>99</v>
      </c>
      <c r="M316" s="5"/>
      <c r="N316" s="5">
        <v>10</v>
      </c>
      <c r="O316" s="5">
        <v>17</v>
      </c>
      <c r="P316" s="5">
        <v>18</v>
      </c>
      <c r="Q316" s="5"/>
      <c r="R316" s="5">
        <f>MAX(25, INT(POWER(2.2,J316/45)))</f>
        <v>2006</v>
      </c>
      <c r="S316" s="5">
        <v>0</v>
      </c>
      <c r="T316" s="5">
        <v>3</v>
      </c>
      <c r="U316" s="5" t="s">
        <v>291</v>
      </c>
      <c r="V316" s="5"/>
      <c r="W316" s="5" t="s">
        <v>255</v>
      </c>
      <c r="X316" s="5" t="s">
        <v>389</v>
      </c>
      <c r="Y316" s="5" t="s">
        <v>188</v>
      </c>
      <c r="Z316" s="10" t="s">
        <v>335</v>
      </c>
      <c r="AA316" s="5" t="s">
        <v>411</v>
      </c>
      <c r="AB316" t="e">
        <f>COUNTIF([1]Sheet1!#REF!, "*"&amp; A316&amp;"*")</f>
        <v>#REF!</v>
      </c>
    </row>
    <row r="317" spans="1:28" x14ac:dyDescent="0.2">
      <c r="A317" s="5">
        <v>199003</v>
      </c>
      <c r="B317" s="5" t="s">
        <v>56</v>
      </c>
      <c r="C317" s="5">
        <v>202</v>
      </c>
      <c r="D317" s="5">
        <v>264</v>
      </c>
      <c r="E317" s="5">
        <v>92</v>
      </c>
      <c r="F317" s="5">
        <v>89</v>
      </c>
      <c r="G317" s="5">
        <v>90</v>
      </c>
      <c r="H317" s="5">
        <v>85</v>
      </c>
      <c r="I317" s="5">
        <v>88</v>
      </c>
      <c r="J317" s="5">
        <f>SUM(E317:I317)</f>
        <v>444</v>
      </c>
      <c r="K317" s="5">
        <v>295</v>
      </c>
      <c r="L317" s="5">
        <v>99</v>
      </c>
      <c r="M317" s="5"/>
      <c r="N317" s="5">
        <v>10</v>
      </c>
      <c r="O317" s="5">
        <v>17</v>
      </c>
      <c r="P317" s="5"/>
      <c r="Q317" s="5"/>
      <c r="R317" s="5">
        <f>MAX(25, INT(POWER(2.2,J317/45)))</f>
        <v>2390</v>
      </c>
      <c r="S317" s="5">
        <v>0</v>
      </c>
      <c r="T317" s="5">
        <v>1</v>
      </c>
      <c r="U317" s="5" t="s">
        <v>286</v>
      </c>
      <c r="V317" s="5"/>
      <c r="W317" s="5" t="s">
        <v>306</v>
      </c>
      <c r="X317" s="5"/>
      <c r="Y317" s="5" t="s">
        <v>190</v>
      </c>
      <c r="Z317" s="10" t="s">
        <v>71</v>
      </c>
      <c r="AA317" s="5" t="s">
        <v>417</v>
      </c>
      <c r="AB317" t="e">
        <f>COUNTIF([1]Sheet1!#REF!, "*"&amp; A317&amp;"*")</f>
        <v>#REF!</v>
      </c>
    </row>
    <row r="318" spans="1:28" x14ac:dyDescent="0.2">
      <c r="A318" s="5">
        <v>199004</v>
      </c>
      <c r="B318" s="5" t="s">
        <v>52</v>
      </c>
      <c r="C318" s="5">
        <v>199</v>
      </c>
      <c r="D318" s="5">
        <v>220</v>
      </c>
      <c r="E318" s="5">
        <v>80</v>
      </c>
      <c r="F318" s="5">
        <v>85</v>
      </c>
      <c r="G318" s="5">
        <v>72</v>
      </c>
      <c r="H318" s="5">
        <v>70</v>
      </c>
      <c r="I318" s="5">
        <v>80</v>
      </c>
      <c r="J318" s="5">
        <f>SUM(E318:I318)</f>
        <v>387</v>
      </c>
      <c r="K318" s="5">
        <v>300</v>
      </c>
      <c r="L318" s="5">
        <v>99</v>
      </c>
      <c r="M318" s="5"/>
      <c r="N318" s="5">
        <v>10</v>
      </c>
      <c r="O318" s="5">
        <v>17</v>
      </c>
      <c r="P318" s="5"/>
      <c r="Q318" s="5"/>
      <c r="R318" s="5">
        <f>MAX(25, INT(POWER(2.2,J318/45)))</f>
        <v>880</v>
      </c>
      <c r="S318" s="5">
        <v>0</v>
      </c>
      <c r="T318" s="5">
        <v>1</v>
      </c>
      <c r="U318" s="5" t="s">
        <v>298</v>
      </c>
      <c r="V318" s="5"/>
      <c r="W318" s="5" t="s">
        <v>327</v>
      </c>
      <c r="Y318" s="5" t="s">
        <v>191</v>
      </c>
      <c r="Z318" s="10" t="s">
        <v>71</v>
      </c>
      <c r="AA318" s="5" t="s">
        <v>419</v>
      </c>
      <c r="AB318" t="e">
        <f>COUNTIF([1]Sheet1!#REF!, "*"&amp; A318&amp;"*")</f>
        <v>#REF!</v>
      </c>
    </row>
    <row r="319" spans="1:28" x14ac:dyDescent="0.2">
      <c r="A319" s="5">
        <v>199006</v>
      </c>
      <c r="B319" s="5" t="s">
        <v>58</v>
      </c>
      <c r="C319" s="5">
        <v>179</v>
      </c>
      <c r="D319" s="5">
        <v>214</v>
      </c>
      <c r="E319" s="5">
        <v>85</v>
      </c>
      <c r="F319" s="5">
        <v>47</v>
      </c>
      <c r="G319" s="5">
        <v>98</v>
      </c>
      <c r="H319" s="5">
        <v>86</v>
      </c>
      <c r="I319" s="5">
        <v>65</v>
      </c>
      <c r="J319" s="5">
        <f>SUM(E319:I319)</f>
        <v>381</v>
      </c>
      <c r="K319" s="5">
        <v>250</v>
      </c>
      <c r="L319" s="5">
        <v>99</v>
      </c>
      <c r="M319" s="5"/>
      <c r="N319" s="5">
        <v>10</v>
      </c>
      <c r="O319" s="5">
        <v>17</v>
      </c>
      <c r="P319" s="5">
        <v>15</v>
      </c>
      <c r="Q319" s="5"/>
      <c r="R319" s="5">
        <f>MAX(25, INT(POWER(2.2,J319/45)))</f>
        <v>792</v>
      </c>
      <c r="S319" s="5">
        <v>0</v>
      </c>
      <c r="T319" s="5">
        <v>3</v>
      </c>
      <c r="U319" s="5" t="s">
        <v>291</v>
      </c>
      <c r="V319" s="5"/>
      <c r="W319" s="5" t="s">
        <v>261</v>
      </c>
      <c r="X319" s="5" t="s">
        <v>369</v>
      </c>
      <c r="Y319" s="5" t="s">
        <v>188</v>
      </c>
      <c r="Z319" s="10" t="s">
        <v>163</v>
      </c>
      <c r="AA319" s="5" t="s">
        <v>424</v>
      </c>
      <c r="AB319" t="e">
        <f>COUNTIF([1]Sheet1!#REF!, "*"&amp; A319&amp;"*")</f>
        <v>#REF!</v>
      </c>
    </row>
    <row r="320" spans="1:28" x14ac:dyDescent="0.2">
      <c r="A320" s="5">
        <v>199007</v>
      </c>
      <c r="B320" s="5" t="s">
        <v>60</v>
      </c>
      <c r="C320" s="5">
        <v>199</v>
      </c>
      <c r="D320" s="5">
        <v>231</v>
      </c>
      <c r="E320" s="5">
        <v>75</v>
      </c>
      <c r="F320" s="5">
        <v>87</v>
      </c>
      <c r="G320" s="5">
        <v>82</v>
      </c>
      <c r="H320" s="5">
        <v>65</v>
      </c>
      <c r="I320" s="5">
        <v>76</v>
      </c>
      <c r="J320" s="5">
        <f>SUM(E320:I320)</f>
        <v>385</v>
      </c>
      <c r="K320" s="5">
        <v>305</v>
      </c>
      <c r="L320" s="5">
        <v>99</v>
      </c>
      <c r="M320" s="5"/>
      <c r="N320" s="5">
        <v>10</v>
      </c>
      <c r="O320" s="5">
        <v>17</v>
      </c>
      <c r="P320" s="5"/>
      <c r="Q320" s="5"/>
      <c r="R320" s="5">
        <f>MAX(25, INT(POWER(2.2,J320/45)))</f>
        <v>850</v>
      </c>
      <c r="S320" s="5">
        <v>0</v>
      </c>
      <c r="T320" s="5">
        <v>1</v>
      </c>
      <c r="U320" s="5" t="s">
        <v>288</v>
      </c>
      <c r="V320" s="5"/>
      <c r="W320" s="5" t="s">
        <v>386</v>
      </c>
      <c r="Y320" s="5" t="s">
        <v>186</v>
      </c>
      <c r="Z320" s="10" t="s">
        <v>71</v>
      </c>
      <c r="AA320" s="5" t="s">
        <v>426</v>
      </c>
      <c r="AB320" t="e">
        <f>COUNTIF([1]Sheet1!#REF!, "*"&amp; A320&amp;"*")</f>
        <v>#REF!</v>
      </c>
    </row>
    <row r="321" spans="1:28" x14ac:dyDescent="0.2">
      <c r="A321" s="5">
        <v>199008</v>
      </c>
      <c r="B321" s="5" t="s">
        <v>74</v>
      </c>
      <c r="C321" s="5">
        <v>200</v>
      </c>
      <c r="D321" s="5">
        <v>263</v>
      </c>
      <c r="E321" s="5">
        <v>74</v>
      </c>
      <c r="F321" s="5">
        <v>81</v>
      </c>
      <c r="G321" s="5">
        <v>69</v>
      </c>
      <c r="H321" s="5">
        <v>68</v>
      </c>
      <c r="I321" s="5">
        <v>75</v>
      </c>
      <c r="J321" s="5">
        <f>SUM(E321:I321)</f>
        <v>367</v>
      </c>
      <c r="K321" s="5">
        <v>215</v>
      </c>
      <c r="L321" s="5">
        <v>99</v>
      </c>
      <c r="M321" s="5"/>
      <c r="N321" s="5">
        <v>10</v>
      </c>
      <c r="O321" s="5">
        <v>17</v>
      </c>
      <c r="P321" s="5">
        <v>30</v>
      </c>
      <c r="Q321" s="5">
        <v>1.5</v>
      </c>
      <c r="R321" s="5">
        <f>MAX(25, INT(POWER(2.2,J321/45)))</f>
        <v>620</v>
      </c>
      <c r="S321" s="5">
        <v>0</v>
      </c>
      <c r="T321" s="5">
        <v>3</v>
      </c>
      <c r="U321" s="5" t="s">
        <v>290</v>
      </c>
      <c r="V321" s="5"/>
      <c r="W321" s="5"/>
      <c r="Y321" s="5" t="s">
        <v>187</v>
      </c>
      <c r="Z321" s="10" t="s">
        <v>340</v>
      </c>
      <c r="AA321" s="5" t="s">
        <v>428</v>
      </c>
      <c r="AB321" t="e">
        <f>COUNTIF([1]Sheet1!#REF!, "*"&amp; A321&amp;"*")</f>
        <v>#REF!</v>
      </c>
    </row>
    <row r="322" spans="1:28" x14ac:dyDescent="0.2">
      <c r="A322" s="5">
        <v>199009</v>
      </c>
      <c r="B322" s="5" t="s">
        <v>99</v>
      </c>
      <c r="C322" s="5">
        <v>183</v>
      </c>
      <c r="D322" s="5">
        <v>234</v>
      </c>
      <c r="E322" s="5">
        <v>58</v>
      </c>
      <c r="F322" s="5">
        <v>34</v>
      </c>
      <c r="G322" s="5">
        <v>86</v>
      </c>
      <c r="H322" s="5">
        <v>85</v>
      </c>
      <c r="I322" s="5">
        <v>70</v>
      </c>
      <c r="J322" s="5">
        <f>SUM(E322:I322)</f>
        <v>333</v>
      </c>
      <c r="K322" s="5">
        <v>190</v>
      </c>
      <c r="L322" s="5">
        <v>99</v>
      </c>
      <c r="M322" s="5"/>
      <c r="N322" s="5">
        <v>10</v>
      </c>
      <c r="O322" s="5">
        <v>17</v>
      </c>
      <c r="P322" s="5">
        <v>13</v>
      </c>
      <c r="Q322" s="5">
        <v>2.5</v>
      </c>
      <c r="R322" s="5">
        <f>MAX(25, INT(POWER(2.2,J322/45)))</f>
        <v>341</v>
      </c>
      <c r="S322" s="5">
        <v>0</v>
      </c>
      <c r="T322" s="5">
        <v>3</v>
      </c>
      <c r="U322" s="5" t="s">
        <v>289</v>
      </c>
      <c r="V322" s="5"/>
      <c r="W322" s="5"/>
      <c r="X322" s="5"/>
      <c r="Y322" s="5" t="s">
        <v>187</v>
      </c>
      <c r="Z322" s="10" t="s">
        <v>370</v>
      </c>
      <c r="AA322" s="5" t="s">
        <v>439</v>
      </c>
      <c r="AB322" t="e">
        <f>COUNTIF([1]Sheet1!#REF!, "*"&amp; A322&amp;"*")</f>
        <v>#REF!</v>
      </c>
    </row>
    <row r="323" spans="1:28" x14ac:dyDescent="0.2">
      <c r="A323" s="5">
        <v>199010</v>
      </c>
      <c r="B323" s="5" t="s">
        <v>110</v>
      </c>
      <c r="C323" s="5">
        <v>207</v>
      </c>
      <c r="D323" s="5">
        <v>271</v>
      </c>
      <c r="E323" s="5">
        <v>27</v>
      </c>
      <c r="F323" s="5">
        <v>41</v>
      </c>
      <c r="G323" s="5">
        <v>35</v>
      </c>
      <c r="H323" s="5">
        <v>40</v>
      </c>
      <c r="I323" s="5">
        <v>60</v>
      </c>
      <c r="J323" s="5">
        <f>SUM(E323:I323)</f>
        <v>203</v>
      </c>
      <c r="K323" s="5">
        <v>360</v>
      </c>
      <c r="L323" s="5">
        <v>99</v>
      </c>
      <c r="M323" s="5"/>
      <c r="N323" s="5">
        <v>10</v>
      </c>
      <c r="O323" s="5">
        <v>17</v>
      </c>
      <c r="P323" s="5">
        <v>35</v>
      </c>
      <c r="Q323" s="5"/>
      <c r="R323" s="5">
        <f>MAX(25, INT(POWER(2.2,J323/45)))</f>
        <v>35</v>
      </c>
      <c r="S323" s="5">
        <v>0</v>
      </c>
      <c r="T323" s="5">
        <v>3</v>
      </c>
      <c r="U323" s="5" t="s">
        <v>299</v>
      </c>
      <c r="V323" s="5"/>
      <c r="W323" s="5" t="s">
        <v>362</v>
      </c>
      <c r="Y323" s="5" t="s">
        <v>309</v>
      </c>
      <c r="Z323" s="10" t="s">
        <v>333</v>
      </c>
      <c r="AA323" s="5" t="s">
        <v>441</v>
      </c>
      <c r="AB323" t="e">
        <f>COUNTIF([1]Sheet1!#REF!, "*"&amp; A323&amp;"*")</f>
        <v>#REF!</v>
      </c>
    </row>
    <row r="324" spans="1:28" x14ac:dyDescent="0.2">
      <c r="A324" s="5">
        <v>199011</v>
      </c>
      <c r="B324" s="5" t="s">
        <v>254</v>
      </c>
      <c r="C324" s="5">
        <v>170</v>
      </c>
      <c r="D324" s="5">
        <v>222</v>
      </c>
      <c r="E324" s="5">
        <v>33</v>
      </c>
      <c r="F324" s="5">
        <v>24</v>
      </c>
      <c r="G324" s="5">
        <v>78</v>
      </c>
      <c r="H324" s="5">
        <v>85</v>
      </c>
      <c r="I324" s="5">
        <v>65</v>
      </c>
      <c r="J324" s="5">
        <f>SUM(E324:I324)</f>
        <v>285</v>
      </c>
      <c r="K324" s="5">
        <v>290</v>
      </c>
      <c r="L324" s="5">
        <v>99</v>
      </c>
      <c r="M324" s="5"/>
      <c r="N324" s="5">
        <v>10</v>
      </c>
      <c r="O324" s="5">
        <v>17</v>
      </c>
      <c r="P324" s="5">
        <v>15</v>
      </c>
      <c r="Q324" s="5"/>
      <c r="R324" s="5">
        <f>MAX(25, INT(POWER(2.2,J324/45)))</f>
        <v>147</v>
      </c>
      <c r="S324" s="5">
        <v>0</v>
      </c>
      <c r="T324" s="5">
        <v>3</v>
      </c>
      <c r="U324" s="5" t="s">
        <v>293</v>
      </c>
      <c r="V324" s="5"/>
      <c r="W324" s="5" t="s">
        <v>391</v>
      </c>
      <c r="X324" s="5"/>
      <c r="Y324" s="5" t="s">
        <v>188</v>
      </c>
      <c r="Z324" s="10" t="s">
        <v>332</v>
      </c>
      <c r="AA324" s="5" t="s">
        <v>447</v>
      </c>
      <c r="AB324" t="e">
        <f>COUNTIF([1]Sheet1!#REF!, "*"&amp; A324&amp;"*")</f>
        <v>#REF!</v>
      </c>
    </row>
    <row r="325" spans="1:28" x14ac:dyDescent="0.2">
      <c r="A325" s="5">
        <v>199012</v>
      </c>
      <c r="B325" s="5" t="s">
        <v>54</v>
      </c>
      <c r="C325" s="5">
        <v>179</v>
      </c>
      <c r="D325" s="5">
        <v>251</v>
      </c>
      <c r="E325" s="5">
        <v>98</v>
      </c>
      <c r="F325" s="5">
        <v>63</v>
      </c>
      <c r="G325" s="5">
        <v>98</v>
      </c>
      <c r="H325" s="5">
        <v>95</v>
      </c>
      <c r="I325" s="5">
        <v>82</v>
      </c>
      <c r="J325" s="5">
        <f>SUM(E325:I325)</f>
        <v>436</v>
      </c>
      <c r="K325" s="5">
        <v>220</v>
      </c>
      <c r="L325" s="5">
        <v>99</v>
      </c>
      <c r="M325" s="5"/>
      <c r="N325" s="5">
        <v>10</v>
      </c>
      <c r="O325" s="5">
        <v>17</v>
      </c>
      <c r="P325" s="5">
        <v>15</v>
      </c>
      <c r="Q325" s="5"/>
      <c r="R325" s="5">
        <f>MAX(25, INT(POWER(2.2,J325/45)))</f>
        <v>2078</v>
      </c>
      <c r="S325" s="5">
        <v>0</v>
      </c>
      <c r="T325" s="5">
        <v>3</v>
      </c>
      <c r="U325" s="5" t="s">
        <v>291</v>
      </c>
      <c r="V325" s="5"/>
      <c r="W325" s="5" t="s">
        <v>275</v>
      </c>
      <c r="X325" s="5"/>
      <c r="Y325" s="5" t="s">
        <v>188</v>
      </c>
      <c r="Z325" s="10" t="s">
        <v>164</v>
      </c>
      <c r="AA325" s="5" t="s">
        <v>465</v>
      </c>
      <c r="AB325" t="e">
        <f>COUNTIF([1]Sheet1!#REF!, "*"&amp; A325&amp;"*")</f>
        <v>#REF!</v>
      </c>
    </row>
    <row r="326" spans="1:28" x14ac:dyDescent="0.2">
      <c r="A326" s="5">
        <v>199013</v>
      </c>
      <c r="B326" s="5" t="s">
        <v>76</v>
      </c>
      <c r="C326" s="5">
        <v>200</v>
      </c>
      <c r="D326" s="5">
        <v>259</v>
      </c>
      <c r="E326" s="5">
        <v>82</v>
      </c>
      <c r="F326" s="5">
        <v>77</v>
      </c>
      <c r="G326" s="5">
        <v>69</v>
      </c>
      <c r="H326" s="5">
        <v>72</v>
      </c>
      <c r="I326" s="5">
        <v>75</v>
      </c>
      <c r="J326" s="5">
        <f>SUM(E326:I326)</f>
        <v>375</v>
      </c>
      <c r="K326" s="5">
        <v>320</v>
      </c>
      <c r="L326" s="5">
        <v>99</v>
      </c>
      <c r="M326" s="5"/>
      <c r="N326" s="5">
        <v>10</v>
      </c>
      <c r="O326" s="5">
        <v>17</v>
      </c>
      <c r="P326" s="5"/>
      <c r="Q326" s="5"/>
      <c r="R326" s="5">
        <f>MAX(25, INT(POWER(2.2,J326/45)))</f>
        <v>713</v>
      </c>
      <c r="S326" s="5">
        <v>0</v>
      </c>
      <c r="T326" s="5">
        <v>1</v>
      </c>
      <c r="U326" s="5" t="s">
        <v>287</v>
      </c>
      <c r="V326" s="5"/>
      <c r="W326" s="5" t="s">
        <v>300</v>
      </c>
      <c r="X326" s="5"/>
      <c r="Y326" s="5" t="s">
        <v>308</v>
      </c>
      <c r="Z326" s="10" t="s">
        <v>71</v>
      </c>
      <c r="AA326" s="5" t="s">
        <v>466</v>
      </c>
      <c r="AB326" t="e">
        <f>COUNTIF([1]Sheet1!#REF!, "*"&amp; A326&amp;"*")</f>
        <v>#REF!</v>
      </c>
    </row>
    <row r="327" spans="1:28" x14ac:dyDescent="0.2">
      <c r="A327" s="5">
        <v>199014</v>
      </c>
      <c r="B327" s="5" t="s">
        <v>78</v>
      </c>
      <c r="C327" s="5">
        <v>195</v>
      </c>
      <c r="D327" s="5">
        <v>231</v>
      </c>
      <c r="E327" s="5">
        <v>68</v>
      </c>
      <c r="F327" s="5">
        <v>88</v>
      </c>
      <c r="G327" s="5">
        <v>38</v>
      </c>
      <c r="H327" s="5">
        <v>50</v>
      </c>
      <c r="I327" s="5">
        <v>65</v>
      </c>
      <c r="J327" s="5">
        <f>SUM(E327:I327)</f>
        <v>309</v>
      </c>
      <c r="K327" s="5">
        <v>380</v>
      </c>
      <c r="L327" s="5">
        <v>99</v>
      </c>
      <c r="M327" s="5"/>
      <c r="N327" s="5">
        <v>10</v>
      </c>
      <c r="O327" s="5">
        <v>17</v>
      </c>
      <c r="P327" s="5"/>
      <c r="Q327" s="5"/>
      <c r="R327" s="5">
        <f>MAX(25, INT(POWER(2.2,J327/45)))</f>
        <v>224</v>
      </c>
      <c r="S327" s="5">
        <v>0</v>
      </c>
      <c r="T327" s="5">
        <v>1</v>
      </c>
      <c r="U327" s="5" t="s">
        <v>288</v>
      </c>
      <c r="V327" s="5"/>
      <c r="W327" s="5" t="s">
        <v>325</v>
      </c>
      <c r="X327" s="5"/>
      <c r="Y327" s="5" t="s">
        <v>189</v>
      </c>
      <c r="Z327" s="10" t="s">
        <v>71</v>
      </c>
      <c r="AA327" s="5" t="s">
        <v>468</v>
      </c>
      <c r="AB327" t="e">
        <f>COUNTIF([1]Sheet1!#REF!, "*"&amp; A327&amp;"*")</f>
        <v>#REF!</v>
      </c>
    </row>
    <row r="328" spans="1:28" x14ac:dyDescent="0.2">
      <c r="A328" s="5">
        <v>199015</v>
      </c>
      <c r="B328" s="5" t="s">
        <v>232</v>
      </c>
      <c r="C328" s="5">
        <v>238</v>
      </c>
      <c r="D328" s="5">
        <v>291</v>
      </c>
      <c r="E328" s="5">
        <v>76</v>
      </c>
      <c r="F328" s="5">
        <v>91</v>
      </c>
      <c r="G328" s="5">
        <v>64</v>
      </c>
      <c r="H328" s="5">
        <v>65</v>
      </c>
      <c r="I328" s="5">
        <v>75</v>
      </c>
      <c r="J328" s="5">
        <f>SUM(E328:I328)</f>
        <v>371</v>
      </c>
      <c r="K328" s="5">
        <v>240</v>
      </c>
      <c r="L328" s="5">
        <v>99</v>
      </c>
      <c r="M328" s="5"/>
      <c r="N328" s="5">
        <v>10</v>
      </c>
      <c r="O328" s="5">
        <v>17</v>
      </c>
      <c r="P328" s="5">
        <v>22</v>
      </c>
      <c r="Q328" s="5">
        <v>1.5</v>
      </c>
      <c r="R328" s="5">
        <f>MAX(25, INT(POWER(2.2,J328/45)))</f>
        <v>665</v>
      </c>
      <c r="S328" s="5">
        <v>0</v>
      </c>
      <c r="T328" s="5">
        <v>3</v>
      </c>
      <c r="U328" s="5" t="s">
        <v>294</v>
      </c>
      <c r="V328" s="5"/>
      <c r="W328" t="s">
        <v>344</v>
      </c>
      <c r="Y328" s="5" t="s">
        <v>187</v>
      </c>
      <c r="Z328" s="10" t="s">
        <v>166</v>
      </c>
      <c r="AA328" s="5" t="s">
        <v>472</v>
      </c>
      <c r="AB328" t="e">
        <f>COUNTIF([1]Sheet1!#REF!, "*"&amp; A328&amp;"*")</f>
        <v>#REF!</v>
      </c>
    </row>
    <row r="329" spans="1:28" x14ac:dyDescent="0.2">
      <c r="A329" s="5">
        <v>199017</v>
      </c>
      <c r="B329" s="5" t="s">
        <v>201</v>
      </c>
      <c r="C329" s="5">
        <v>195</v>
      </c>
      <c r="D329" s="5">
        <v>255</v>
      </c>
      <c r="E329" s="5">
        <v>78</v>
      </c>
      <c r="F329" s="5">
        <v>75</v>
      </c>
      <c r="G329" s="5">
        <v>55</v>
      </c>
      <c r="H329" s="5">
        <v>72</v>
      </c>
      <c r="I329" s="5">
        <v>70</v>
      </c>
      <c r="J329" s="5">
        <f>SUM(E329:I329)</f>
        <v>350</v>
      </c>
      <c r="K329" s="5">
        <v>340</v>
      </c>
      <c r="L329" s="5">
        <v>99</v>
      </c>
      <c r="M329" s="5"/>
      <c r="N329" s="5">
        <v>10</v>
      </c>
      <c r="O329" s="5">
        <v>17</v>
      </c>
      <c r="P329" s="5"/>
      <c r="Q329" s="5"/>
      <c r="R329" s="5">
        <f>MAX(25, INT(POWER(2.2,J329/45)))</f>
        <v>460</v>
      </c>
      <c r="S329" s="5">
        <v>0</v>
      </c>
      <c r="T329" s="5">
        <v>1</v>
      </c>
      <c r="U329" s="5" t="s">
        <v>297</v>
      </c>
      <c r="V329" s="5"/>
      <c r="W329" t="s">
        <v>323</v>
      </c>
      <c r="X329" s="5"/>
      <c r="Y329" s="5" t="s">
        <v>307</v>
      </c>
      <c r="Z329" s="10" t="s">
        <v>71</v>
      </c>
      <c r="AA329" s="5" t="s">
        <v>481</v>
      </c>
      <c r="AB329" t="e">
        <f>COUNTIF([1]Sheet1!#REF!, "*"&amp; A329&amp;"*")</f>
        <v>#REF!</v>
      </c>
    </row>
    <row r="330" spans="1:28" x14ac:dyDescent="0.2">
      <c r="A330" s="5">
        <v>199021</v>
      </c>
      <c r="B330" s="5" t="s">
        <v>101</v>
      </c>
      <c r="C330" s="5">
        <v>155</v>
      </c>
      <c r="D330" s="5">
        <v>191</v>
      </c>
      <c r="E330" s="5">
        <v>93</v>
      </c>
      <c r="F330" s="5">
        <v>90</v>
      </c>
      <c r="G330" s="5">
        <v>77</v>
      </c>
      <c r="H330" s="5">
        <v>78</v>
      </c>
      <c r="I330" s="5">
        <v>92</v>
      </c>
      <c r="J330" s="5">
        <f>SUM(E330:I330)</f>
        <v>430</v>
      </c>
      <c r="K330" s="5">
        <v>290</v>
      </c>
      <c r="L330" s="5">
        <v>99</v>
      </c>
      <c r="M330" s="5"/>
      <c r="N330" s="5">
        <v>10</v>
      </c>
      <c r="O330" s="5">
        <v>17</v>
      </c>
      <c r="P330" s="5"/>
      <c r="Q330" s="5"/>
      <c r="R330" s="5">
        <f>MAX(25, INT(POWER(2.2,J330/45)))</f>
        <v>1870</v>
      </c>
      <c r="S330" s="5">
        <v>0</v>
      </c>
      <c r="T330" s="5">
        <v>1</v>
      </c>
      <c r="U330" s="5" t="s">
        <v>288</v>
      </c>
      <c r="V330" s="5"/>
      <c r="W330" s="5" t="s">
        <v>345</v>
      </c>
      <c r="X330" s="5"/>
      <c r="Y330" s="5" t="s">
        <v>186</v>
      </c>
      <c r="Z330" s="10" t="s">
        <v>71</v>
      </c>
      <c r="AA330" s="5" t="s">
        <v>490</v>
      </c>
      <c r="AB330" t="e">
        <f>COUNTIF([1]Sheet1!#REF!, "*"&amp; A330&amp;"*")</f>
        <v>#REF!</v>
      </c>
    </row>
    <row r="331" spans="1:28" x14ac:dyDescent="0.2">
      <c r="A331" s="5">
        <v>199022</v>
      </c>
      <c r="B331" s="5" t="s">
        <v>134</v>
      </c>
      <c r="C331" s="5">
        <v>203</v>
      </c>
      <c r="D331" s="5">
        <v>253</v>
      </c>
      <c r="E331" s="5">
        <v>72</v>
      </c>
      <c r="F331" s="5">
        <v>47</v>
      </c>
      <c r="G331" s="5">
        <v>90</v>
      </c>
      <c r="H331" s="5">
        <v>80</v>
      </c>
      <c r="I331" s="5">
        <v>60</v>
      </c>
      <c r="J331" s="5">
        <f>SUM(E331:I331)</f>
        <v>349</v>
      </c>
      <c r="K331" s="5">
        <v>235</v>
      </c>
      <c r="L331" s="5">
        <v>99</v>
      </c>
      <c r="M331" s="5"/>
      <c r="N331" s="5">
        <v>10</v>
      </c>
      <c r="O331" s="5">
        <v>17</v>
      </c>
      <c r="P331" s="5">
        <v>15</v>
      </c>
      <c r="Q331" s="5"/>
      <c r="R331" s="5">
        <f>MAX(25, INT(POWER(2.2,J331/45)))</f>
        <v>452</v>
      </c>
      <c r="S331" s="5">
        <v>0</v>
      </c>
      <c r="T331" s="5">
        <v>3</v>
      </c>
      <c r="U331" s="5" t="s">
        <v>291</v>
      </c>
      <c r="V331" s="5"/>
      <c r="W331" s="5" t="s">
        <v>382</v>
      </c>
      <c r="X331" s="5"/>
      <c r="Y331" s="5" t="s">
        <v>188</v>
      </c>
      <c r="Z331" s="10" t="s">
        <v>70</v>
      </c>
      <c r="AA331" s="5" t="s">
        <v>520</v>
      </c>
      <c r="AB331" t="e">
        <f>COUNTIF([1]Sheet1!#REF!, "*"&amp; A331&amp;"*")</f>
        <v>#REF!</v>
      </c>
    </row>
    <row r="332" spans="1:28" x14ac:dyDescent="0.2">
      <c r="A332" s="5">
        <v>199023</v>
      </c>
      <c r="B332" s="5" t="s">
        <v>118</v>
      </c>
      <c r="C332" s="5">
        <v>145</v>
      </c>
      <c r="D332" s="5">
        <v>208</v>
      </c>
      <c r="E332" s="5">
        <v>60</v>
      </c>
      <c r="F332" s="5">
        <v>34</v>
      </c>
      <c r="G332" s="5">
        <v>77</v>
      </c>
      <c r="H332" s="5">
        <v>70</v>
      </c>
      <c r="I332" s="5">
        <v>85</v>
      </c>
      <c r="J332" s="5">
        <f>SUM(E332:I332)</f>
        <v>326</v>
      </c>
      <c r="K332" s="5">
        <v>330</v>
      </c>
      <c r="L332" s="5">
        <v>99</v>
      </c>
      <c r="M332" s="5"/>
      <c r="N332" s="5">
        <v>10</v>
      </c>
      <c r="O332" s="5">
        <v>17</v>
      </c>
      <c r="P332" s="5">
        <v>14</v>
      </c>
      <c r="Q332" s="5"/>
      <c r="R332" s="5">
        <f>MAX(25, INT(POWER(2.2,J332/45)))</f>
        <v>302</v>
      </c>
      <c r="S332" s="5">
        <v>0</v>
      </c>
      <c r="T332" s="5">
        <v>3</v>
      </c>
      <c r="U332" s="5" t="s">
        <v>296</v>
      </c>
      <c r="V332" s="5"/>
      <c r="W332" s="5" t="s">
        <v>365</v>
      </c>
      <c r="X332" s="5"/>
      <c r="Y332" s="5" t="s">
        <v>194</v>
      </c>
      <c r="Z332" s="10" t="s">
        <v>331</v>
      </c>
      <c r="AA332" s="5" t="s">
        <v>557</v>
      </c>
      <c r="AB332" t="e">
        <f>COUNTIF([1]Sheet1!#REF!, "*"&amp; A332&amp;"*")</f>
        <v>#REF!</v>
      </c>
    </row>
    <row r="333" spans="1:28" x14ac:dyDescent="0.2">
      <c r="A333" s="5">
        <v>199024</v>
      </c>
      <c r="B333" s="5" t="s">
        <v>148</v>
      </c>
      <c r="C333" s="5">
        <v>164</v>
      </c>
      <c r="D333" s="5">
        <v>200</v>
      </c>
      <c r="E333" s="5">
        <v>47</v>
      </c>
      <c r="F333" s="5">
        <v>41</v>
      </c>
      <c r="G333" s="5">
        <v>73</v>
      </c>
      <c r="H333" s="5">
        <v>65</v>
      </c>
      <c r="I333" s="5">
        <v>70</v>
      </c>
      <c r="J333" s="5">
        <f>SUM(E333:I333)</f>
        <v>296</v>
      </c>
      <c r="K333" s="5">
        <v>310</v>
      </c>
      <c r="L333" s="5">
        <v>99</v>
      </c>
      <c r="M333" s="5"/>
      <c r="N333" s="5">
        <v>10</v>
      </c>
      <c r="O333" s="5">
        <v>17</v>
      </c>
      <c r="P333" s="5">
        <v>14</v>
      </c>
      <c r="Q333" s="5"/>
      <c r="R333" s="5">
        <f>MAX(25, INT(POWER(2.2,J333/45)))</f>
        <v>178</v>
      </c>
      <c r="S333" s="5">
        <v>0</v>
      </c>
      <c r="T333" s="5">
        <v>3</v>
      </c>
      <c r="U333" s="5" t="s">
        <v>296</v>
      </c>
      <c r="V333" s="5"/>
      <c r="W333" s="5" t="s">
        <v>360</v>
      </c>
      <c r="X333" s="5"/>
      <c r="Y333" s="5" t="s">
        <v>194</v>
      </c>
      <c r="Z333" s="10" t="s">
        <v>331</v>
      </c>
      <c r="AA333" s="5" t="s">
        <v>560</v>
      </c>
      <c r="AB333" t="e">
        <f>COUNTIF([1]Sheet1!#REF!, "*"&amp; A333&amp;"*")</f>
        <v>#REF!</v>
      </c>
    </row>
    <row r="334" spans="1:28" x14ac:dyDescent="0.2">
      <c r="A334" s="5">
        <v>199025</v>
      </c>
      <c r="B334" s="5" t="s">
        <v>206</v>
      </c>
      <c r="C334" s="5">
        <v>156</v>
      </c>
      <c r="D334" s="5">
        <v>184</v>
      </c>
      <c r="E334" s="5">
        <v>87</v>
      </c>
      <c r="F334" s="5">
        <v>29</v>
      </c>
      <c r="G334" s="5">
        <v>86</v>
      </c>
      <c r="H334" s="5">
        <v>82</v>
      </c>
      <c r="I334" s="5">
        <v>88</v>
      </c>
      <c r="J334" s="5">
        <f>SUM(E334:I334)</f>
        <v>372</v>
      </c>
      <c r="K334" s="5">
        <v>280</v>
      </c>
      <c r="L334" s="5">
        <v>99</v>
      </c>
      <c r="M334" s="5"/>
      <c r="N334" s="5">
        <v>10</v>
      </c>
      <c r="O334" s="5">
        <v>17</v>
      </c>
      <c r="P334" s="5">
        <v>15</v>
      </c>
      <c r="Q334" s="5"/>
      <c r="R334" s="5">
        <f>MAX(25, INT(POWER(2.2,J334/45)))</f>
        <v>677</v>
      </c>
      <c r="S334" s="5">
        <v>0</v>
      </c>
      <c r="T334" s="5">
        <v>3</v>
      </c>
      <c r="U334" s="5" t="s">
        <v>291</v>
      </c>
      <c r="V334" s="5"/>
      <c r="W334" s="5" t="s">
        <v>272</v>
      </c>
      <c r="X334" t="s">
        <v>397</v>
      </c>
      <c r="Y334" s="5" t="s">
        <v>188</v>
      </c>
      <c r="Z334" s="10" t="s">
        <v>161</v>
      </c>
      <c r="AA334" s="5" t="s">
        <v>561</v>
      </c>
      <c r="AB334" t="e">
        <f>COUNTIF([1]Sheet1!#REF!, "*"&amp; A334&amp;"*")</f>
        <v>#REF!</v>
      </c>
    </row>
    <row r="335" spans="1:28" x14ac:dyDescent="0.2">
      <c r="A335" s="5">
        <v>199026</v>
      </c>
      <c r="B335" s="5" t="s">
        <v>207</v>
      </c>
      <c r="C335" s="5">
        <v>155</v>
      </c>
      <c r="D335" s="5">
        <v>184</v>
      </c>
      <c r="E335" s="5">
        <v>83</v>
      </c>
      <c r="F335" s="5">
        <v>71</v>
      </c>
      <c r="G335" s="5">
        <v>81</v>
      </c>
      <c r="H335" s="5">
        <v>78</v>
      </c>
      <c r="I335" s="5">
        <v>75</v>
      </c>
      <c r="J335" s="5">
        <f>SUM(E335:I335)</f>
        <v>388</v>
      </c>
      <c r="K335" s="5">
        <v>280</v>
      </c>
      <c r="L335" s="5">
        <v>99</v>
      </c>
      <c r="M335" s="5"/>
      <c r="N335" s="5">
        <v>10</v>
      </c>
      <c r="O335" s="5">
        <v>17</v>
      </c>
      <c r="P335" s="5"/>
      <c r="Q335" s="5"/>
      <c r="R335" s="5">
        <f>MAX(25, INT(POWER(2.2,J335/45)))</f>
        <v>896</v>
      </c>
      <c r="S335" s="5">
        <v>0</v>
      </c>
      <c r="T335" s="5">
        <v>1</v>
      </c>
      <c r="U335" s="5" t="s">
        <v>288</v>
      </c>
      <c r="V335" s="5"/>
      <c r="W335" s="5" t="s">
        <v>323</v>
      </c>
      <c r="X335" s="5"/>
      <c r="Y335" s="5" t="s">
        <v>220</v>
      </c>
      <c r="Z335" s="10" t="s">
        <v>71</v>
      </c>
      <c r="AA335" s="5" t="s">
        <v>562</v>
      </c>
      <c r="AB335" t="e">
        <f>COUNTIF([1]Sheet1!#REF!, "*"&amp; A335&amp;"*")</f>
        <v>#REF!</v>
      </c>
    </row>
    <row r="336" spans="1:28" x14ac:dyDescent="0.2">
      <c r="A336" s="5">
        <v>199027</v>
      </c>
      <c r="B336" s="5" t="s">
        <v>208</v>
      </c>
      <c r="C336" s="5">
        <v>156</v>
      </c>
      <c r="D336" s="5">
        <v>184</v>
      </c>
      <c r="E336" s="5">
        <v>78</v>
      </c>
      <c r="F336" s="5">
        <v>80</v>
      </c>
      <c r="G336" s="5">
        <v>74</v>
      </c>
      <c r="H336" s="5">
        <v>75</v>
      </c>
      <c r="I336" s="5">
        <v>70</v>
      </c>
      <c r="J336" s="5">
        <f>SUM(E336:I336)</f>
        <v>377</v>
      </c>
      <c r="K336" s="5">
        <v>225</v>
      </c>
      <c r="L336" s="5">
        <v>99</v>
      </c>
      <c r="M336" s="5"/>
      <c r="N336" s="5">
        <v>10</v>
      </c>
      <c r="O336" s="5">
        <v>17</v>
      </c>
      <c r="P336" s="5">
        <v>13</v>
      </c>
      <c r="Q336" s="5">
        <v>2.5</v>
      </c>
      <c r="R336" s="5">
        <f>MAX(25, INT(POWER(2.2,J336/45)))</f>
        <v>739</v>
      </c>
      <c r="S336" s="5">
        <v>0</v>
      </c>
      <c r="T336" s="5">
        <v>3</v>
      </c>
      <c r="U336" s="5" t="s">
        <v>347</v>
      </c>
      <c r="V336" s="5"/>
      <c r="W336" s="5"/>
      <c r="X336" s="5"/>
      <c r="Y336" s="5" t="s">
        <v>219</v>
      </c>
      <c r="Z336" s="10" t="s">
        <v>71</v>
      </c>
      <c r="AA336" s="5" t="s">
        <v>563</v>
      </c>
      <c r="AB336" t="e">
        <f>COUNTIF([1]Sheet1!#REF!, "*"&amp; A336&amp;"*")</f>
        <v>#REF!</v>
      </c>
    </row>
    <row r="337" spans="1:28" x14ac:dyDescent="0.2">
      <c r="A337" s="5">
        <v>199029</v>
      </c>
      <c r="B337" s="5" t="s">
        <v>247</v>
      </c>
      <c r="C337" s="5">
        <v>170</v>
      </c>
      <c r="D337" s="5">
        <v>214</v>
      </c>
      <c r="E337" s="5">
        <v>73</v>
      </c>
      <c r="F337" s="5">
        <v>51</v>
      </c>
      <c r="G337" s="5">
        <v>82</v>
      </c>
      <c r="H337" s="5">
        <v>75</v>
      </c>
      <c r="I337" s="5">
        <v>78</v>
      </c>
      <c r="J337" s="5">
        <f>SUM(E337:I337)</f>
        <v>359</v>
      </c>
      <c r="K337" s="5">
        <v>290</v>
      </c>
      <c r="L337" s="5">
        <v>99</v>
      </c>
      <c r="M337" s="5"/>
      <c r="N337" s="5">
        <v>10</v>
      </c>
      <c r="O337" s="5">
        <v>17</v>
      </c>
      <c r="P337" s="5"/>
      <c r="Q337" s="5"/>
      <c r="R337" s="5">
        <f>MAX(25, INT(POWER(2.2,J337/45)))</f>
        <v>539</v>
      </c>
      <c r="S337" s="5">
        <v>0</v>
      </c>
      <c r="T337" s="5">
        <v>1</v>
      </c>
      <c r="U337" s="5" t="s">
        <v>288</v>
      </c>
      <c r="V337" s="5"/>
      <c r="W337" s="5"/>
      <c r="X337" s="5"/>
      <c r="Y337" s="5" t="s">
        <v>319</v>
      </c>
      <c r="Z337" s="10" t="s">
        <v>71</v>
      </c>
      <c r="AA337" s="5" t="s">
        <v>565</v>
      </c>
      <c r="AB337" t="e">
        <f>COUNTIF([1]Sheet1!#REF!, "*"&amp; A337&amp;"*")</f>
        <v>#REF!</v>
      </c>
    </row>
    <row r="338" spans="1:28" x14ac:dyDescent="0.2">
      <c r="A338" s="5">
        <v>199030</v>
      </c>
      <c r="B338" s="5" t="s">
        <v>249</v>
      </c>
      <c r="C338" s="5">
        <v>177</v>
      </c>
      <c r="D338" s="5">
        <v>249</v>
      </c>
      <c r="E338" s="5">
        <v>61</v>
      </c>
      <c r="F338" s="5">
        <v>13</v>
      </c>
      <c r="G338" s="5">
        <v>77</v>
      </c>
      <c r="H338" s="5">
        <v>75</v>
      </c>
      <c r="I338" s="5">
        <v>82</v>
      </c>
      <c r="J338" s="5">
        <f>SUM(E338:I338)</f>
        <v>308</v>
      </c>
      <c r="K338" s="5">
        <v>270</v>
      </c>
      <c r="L338" s="5">
        <v>99</v>
      </c>
      <c r="M338" s="5"/>
      <c r="N338" s="5">
        <v>10</v>
      </c>
      <c r="O338" s="5">
        <v>17</v>
      </c>
      <c r="P338" s="5">
        <v>15</v>
      </c>
      <c r="Q338" s="5"/>
      <c r="R338" s="5">
        <f>MAX(25, INT(POWER(2.2,J338/45)))</f>
        <v>220</v>
      </c>
      <c r="S338" s="5">
        <v>0</v>
      </c>
      <c r="T338" s="5">
        <v>3</v>
      </c>
      <c r="U338" s="5" t="s">
        <v>295</v>
      </c>
      <c r="V338" s="5"/>
      <c r="W338" s="5" t="s">
        <v>361</v>
      </c>
      <c r="X338" s="5"/>
      <c r="Y338" s="5" t="s">
        <v>320</v>
      </c>
      <c r="Z338" s="10" t="s">
        <v>70</v>
      </c>
      <c r="AA338" s="5" t="s">
        <v>566</v>
      </c>
      <c r="AB338" t="e">
        <f>COUNTIF([1]Sheet1!#REF!, "*"&amp; A338&amp;"*")</f>
        <v>#REF!</v>
      </c>
    </row>
    <row r="339" spans="1:28" x14ac:dyDescent="0.2">
      <c r="A339" s="5">
        <v>199031</v>
      </c>
      <c r="B339" s="5" t="s">
        <v>90</v>
      </c>
      <c r="C339" s="5">
        <v>190</v>
      </c>
      <c r="D339" s="5">
        <v>228</v>
      </c>
      <c r="E339" s="5">
        <v>70</v>
      </c>
      <c r="F339" s="5">
        <v>72</v>
      </c>
      <c r="G339" s="5">
        <v>88</v>
      </c>
      <c r="H339" s="5">
        <v>78</v>
      </c>
      <c r="I339" s="5">
        <v>65</v>
      </c>
      <c r="J339" s="5">
        <f>SUM(E339:I339)</f>
        <v>373</v>
      </c>
      <c r="K339" s="5">
        <v>235</v>
      </c>
      <c r="L339" s="5">
        <v>99</v>
      </c>
      <c r="M339" s="5"/>
      <c r="N339" s="5">
        <v>99</v>
      </c>
      <c r="O339" s="5">
        <v>17</v>
      </c>
      <c r="P339" s="5">
        <v>15</v>
      </c>
      <c r="Q339" s="5"/>
      <c r="R339" s="5">
        <f>MAX(25, INT(POWER(2.2,J339/45)))</f>
        <v>689</v>
      </c>
      <c r="S339" s="5">
        <v>0</v>
      </c>
      <c r="T339" s="5">
        <v>3</v>
      </c>
      <c r="U339" s="5" t="s">
        <v>291</v>
      </c>
      <c r="V339" s="5"/>
      <c r="W339" s="5" t="s">
        <v>262</v>
      </c>
      <c r="X339" s="5"/>
      <c r="Y339" s="5" t="s">
        <v>188</v>
      </c>
      <c r="Z339" s="10" t="s">
        <v>70</v>
      </c>
      <c r="AA339" s="5" t="s">
        <v>433</v>
      </c>
      <c r="AB339" t="e">
        <f>COUNTIF([1]Sheet1!#REF!, "*"&amp; A339&amp;"*")</f>
        <v>#REF!</v>
      </c>
    </row>
    <row r="340" spans="1:28" x14ac:dyDescent="0.2">
      <c r="A340" s="5">
        <v>199032</v>
      </c>
      <c r="B340" s="5" t="s">
        <v>223</v>
      </c>
      <c r="C340" s="5">
        <v>187</v>
      </c>
      <c r="D340" s="5">
        <v>222</v>
      </c>
      <c r="E340" s="5">
        <v>68</v>
      </c>
      <c r="F340" s="5">
        <v>60</v>
      </c>
      <c r="G340" s="5">
        <v>93</v>
      </c>
      <c r="H340" s="5">
        <v>87</v>
      </c>
      <c r="I340" s="5">
        <v>86</v>
      </c>
      <c r="J340" s="5">
        <f>SUM(E340:I340)</f>
        <v>394</v>
      </c>
      <c r="K340" s="5">
        <v>270</v>
      </c>
      <c r="L340" s="5">
        <v>99</v>
      </c>
      <c r="M340" s="5"/>
      <c r="N340" s="5">
        <v>99</v>
      </c>
      <c r="O340" s="5">
        <v>17</v>
      </c>
      <c r="P340" s="5">
        <v>18</v>
      </c>
      <c r="Q340" s="5"/>
      <c r="R340" s="5">
        <f>MAX(25, INT(POWER(2.2,J340/45)))</f>
        <v>995</v>
      </c>
      <c r="S340" s="5">
        <v>0</v>
      </c>
      <c r="T340" s="5">
        <v>3</v>
      </c>
      <c r="U340" s="5" t="s">
        <v>292</v>
      </c>
      <c r="V340" s="5"/>
      <c r="W340" s="5" t="s">
        <v>357</v>
      </c>
      <c r="X340" s="5"/>
      <c r="Y340" s="5" t="s">
        <v>194</v>
      </c>
      <c r="Z340" s="10" t="s">
        <v>334</v>
      </c>
      <c r="AA340" s="5" t="s">
        <v>438</v>
      </c>
      <c r="AB340" t="e">
        <f>COUNTIF([1]Sheet1!#REF!, "*"&amp; A340&amp;"*")</f>
        <v>#REF!</v>
      </c>
    </row>
    <row r="341" spans="1:28" x14ac:dyDescent="0.2">
      <c r="A341" s="5">
        <v>199033</v>
      </c>
      <c r="B341" s="5" t="s">
        <v>225</v>
      </c>
      <c r="C341" s="5">
        <v>193</v>
      </c>
      <c r="D341" s="5">
        <v>246</v>
      </c>
      <c r="E341" s="5">
        <v>64</v>
      </c>
      <c r="F341" s="5">
        <v>52</v>
      </c>
      <c r="G341" s="5">
        <v>85</v>
      </c>
      <c r="H341" s="5">
        <v>92</v>
      </c>
      <c r="I341" s="5">
        <v>85</v>
      </c>
      <c r="J341" s="5">
        <f>SUM(E341:I341)</f>
        <v>378</v>
      </c>
      <c r="K341" s="5">
        <v>240</v>
      </c>
      <c r="L341" s="5">
        <v>99</v>
      </c>
      <c r="M341" s="5"/>
      <c r="N341" s="5">
        <v>10</v>
      </c>
      <c r="O341" s="5">
        <v>17</v>
      </c>
      <c r="P341" s="5">
        <v>18</v>
      </c>
      <c r="Q341" s="5"/>
      <c r="R341" s="5">
        <f>MAX(25, INT(POWER(2.2,J341/45)))</f>
        <v>752</v>
      </c>
      <c r="S341" s="5">
        <v>0</v>
      </c>
      <c r="T341" s="5">
        <v>3</v>
      </c>
      <c r="U341" s="5" t="s">
        <v>292</v>
      </c>
      <c r="V341" s="5"/>
      <c r="W341" s="5"/>
      <c r="X341" s="5"/>
      <c r="Y341" s="5" t="s">
        <v>194</v>
      </c>
      <c r="Z341" s="10" t="s">
        <v>334</v>
      </c>
      <c r="AA341" s="5" t="s">
        <v>430</v>
      </c>
      <c r="AB341" t="e">
        <f>COUNTIF([1]Sheet1!#REF!, "*"&amp; A341&amp;"*")</f>
        <v>#REF!</v>
      </c>
    </row>
    <row r="342" spans="1:28" x14ac:dyDescent="0.2">
      <c r="A342" s="5">
        <v>199034</v>
      </c>
      <c r="B342" s="5" t="s">
        <v>226</v>
      </c>
      <c r="C342" s="5">
        <v>185</v>
      </c>
      <c r="D342" s="5">
        <v>253</v>
      </c>
      <c r="E342" s="5">
        <v>68</v>
      </c>
      <c r="F342" s="5">
        <v>42</v>
      </c>
      <c r="G342" s="5">
        <v>86</v>
      </c>
      <c r="H342" s="5">
        <v>90</v>
      </c>
      <c r="I342" s="5">
        <v>88</v>
      </c>
      <c r="J342" s="5">
        <f>SUM(E342:I342)</f>
        <v>374</v>
      </c>
      <c r="K342" s="5">
        <v>250</v>
      </c>
      <c r="L342" s="5">
        <v>99</v>
      </c>
      <c r="M342" s="5"/>
      <c r="N342" s="5">
        <v>10</v>
      </c>
      <c r="O342" s="5">
        <v>17</v>
      </c>
      <c r="P342" s="5">
        <v>18</v>
      </c>
      <c r="Q342" s="5"/>
      <c r="R342" s="5">
        <f>MAX(25, INT(POWER(2.2,J342/45)))</f>
        <v>701</v>
      </c>
      <c r="S342" s="5">
        <v>0</v>
      </c>
      <c r="T342" s="5">
        <v>3</v>
      </c>
      <c r="U342" s="5" t="s">
        <v>292</v>
      </c>
      <c r="V342" s="5"/>
      <c r="W342" s="5" t="s">
        <v>326</v>
      </c>
      <c r="X342" s="5"/>
      <c r="Y342" s="5" t="s">
        <v>194</v>
      </c>
      <c r="Z342" s="10" t="s">
        <v>334</v>
      </c>
      <c r="AA342" s="5" t="s">
        <v>432</v>
      </c>
      <c r="AB342" t="e">
        <f>COUNTIF([1]Sheet1!#REF!, "*"&amp; A342&amp;"*")</f>
        <v>#REF!</v>
      </c>
    </row>
    <row r="343" spans="1:28" x14ac:dyDescent="0.2">
      <c r="A343" s="5">
        <v>199035</v>
      </c>
      <c r="B343" s="5" t="s">
        <v>694</v>
      </c>
      <c r="C343" s="5">
        <v>180</v>
      </c>
      <c r="D343" s="5">
        <v>243</v>
      </c>
      <c r="E343" s="5">
        <v>63</v>
      </c>
      <c r="F343" s="5">
        <v>48</v>
      </c>
      <c r="G343" s="5">
        <v>82</v>
      </c>
      <c r="H343" s="5">
        <v>80</v>
      </c>
      <c r="I343" s="5">
        <v>75</v>
      </c>
      <c r="J343" s="5">
        <f>SUM(E343:I343)</f>
        <v>348</v>
      </c>
      <c r="K343" s="5">
        <v>260</v>
      </c>
      <c r="L343" s="5">
        <v>99</v>
      </c>
      <c r="M343" s="5"/>
      <c r="N343" s="5">
        <v>10</v>
      </c>
      <c r="O343" s="5">
        <v>17</v>
      </c>
      <c r="P343" s="5">
        <v>35</v>
      </c>
      <c r="Q343" s="5"/>
      <c r="R343" s="5">
        <f>MAX(25, INT(POWER(2.2,J343/45)))</f>
        <v>444</v>
      </c>
      <c r="S343" s="5">
        <v>0</v>
      </c>
      <c r="T343" s="5">
        <v>3</v>
      </c>
      <c r="U343" s="5" t="s">
        <v>299</v>
      </c>
      <c r="V343" s="5"/>
      <c r="W343" t="s">
        <v>397</v>
      </c>
      <c r="X343" s="5"/>
      <c r="Y343" s="5" t="s">
        <v>194</v>
      </c>
      <c r="Z343" s="10" t="s">
        <v>333</v>
      </c>
      <c r="AA343" s="5" t="s">
        <v>437</v>
      </c>
      <c r="AB343" t="e">
        <f>COUNTIF([1]Sheet1!#REF!, "*"&amp; A343&amp;"*")</f>
        <v>#REF!</v>
      </c>
    </row>
    <row r="344" spans="1:28" x14ac:dyDescent="0.2">
      <c r="A344" s="5">
        <v>199036</v>
      </c>
      <c r="B344" s="5" t="s">
        <v>93</v>
      </c>
      <c r="C344" s="5">
        <v>178</v>
      </c>
      <c r="D344" s="5">
        <v>251</v>
      </c>
      <c r="E344" s="5">
        <v>70</v>
      </c>
      <c r="F344" s="5">
        <v>71</v>
      </c>
      <c r="G344" s="5">
        <v>80</v>
      </c>
      <c r="H344" s="5">
        <v>79</v>
      </c>
      <c r="I344" s="5">
        <v>84</v>
      </c>
      <c r="J344" s="5">
        <f>SUM(E344:I344)</f>
        <v>384</v>
      </c>
      <c r="K344" s="5">
        <v>290</v>
      </c>
      <c r="L344" s="5">
        <v>99</v>
      </c>
      <c r="M344" s="5"/>
      <c r="N344" s="5">
        <v>10</v>
      </c>
      <c r="O344" s="5">
        <v>17</v>
      </c>
      <c r="P344" s="5"/>
      <c r="Q344" s="5"/>
      <c r="R344" s="5">
        <f>MAX(25, INT(POWER(2.2,J344/45)))</f>
        <v>835</v>
      </c>
      <c r="S344" s="5">
        <v>0</v>
      </c>
      <c r="T344" s="5">
        <v>1</v>
      </c>
      <c r="U344" s="5" t="s">
        <v>288</v>
      </c>
      <c r="V344" s="5"/>
      <c r="W344" s="5" t="s">
        <v>351</v>
      </c>
      <c r="X344" s="5"/>
      <c r="Y344" s="5" t="s">
        <v>185</v>
      </c>
      <c r="Z344" s="10" t="s">
        <v>71</v>
      </c>
      <c r="AA344" s="5" t="s">
        <v>436</v>
      </c>
      <c r="AB344" t="e">
        <f>COUNTIF([1]Sheet1!#REF!, "*"&amp; A344&amp;"*")</f>
        <v>#REF!</v>
      </c>
    </row>
    <row r="345" spans="1:28" x14ac:dyDescent="0.2">
      <c r="A345" s="5">
        <v>199037</v>
      </c>
      <c r="B345" s="5" t="s">
        <v>92</v>
      </c>
      <c r="C345" s="5">
        <v>175</v>
      </c>
      <c r="D345" s="5">
        <v>248</v>
      </c>
      <c r="E345" s="5">
        <v>83</v>
      </c>
      <c r="F345" s="5">
        <v>78</v>
      </c>
      <c r="G345" s="5">
        <v>75</v>
      </c>
      <c r="H345" s="5">
        <v>72</v>
      </c>
      <c r="I345" s="5">
        <v>75</v>
      </c>
      <c r="J345" s="5">
        <f>SUM(E345:I345)</f>
        <v>383</v>
      </c>
      <c r="K345" s="5">
        <v>300</v>
      </c>
      <c r="L345" s="5">
        <v>99</v>
      </c>
      <c r="M345" s="5"/>
      <c r="N345" s="5">
        <v>10</v>
      </c>
      <c r="O345" s="5">
        <v>17</v>
      </c>
      <c r="P345" s="5"/>
      <c r="Q345" s="5"/>
      <c r="R345" s="5">
        <f>MAX(25, INT(POWER(2.2,J345/45)))</f>
        <v>821</v>
      </c>
      <c r="S345" s="5">
        <v>0</v>
      </c>
      <c r="T345" s="5">
        <v>1</v>
      </c>
      <c r="U345" s="5" t="s">
        <v>287</v>
      </c>
      <c r="V345" s="5"/>
      <c r="W345" s="5" t="s">
        <v>263</v>
      </c>
      <c r="X345" s="5" t="s">
        <v>394</v>
      </c>
      <c r="Y345" s="5" t="s">
        <v>185</v>
      </c>
      <c r="Z345" s="10" t="s">
        <v>71</v>
      </c>
      <c r="AA345" s="5" t="s">
        <v>435</v>
      </c>
      <c r="AB345" t="e">
        <f>COUNTIF([1]Sheet1!#REF!, "*"&amp; A345&amp;"*")</f>
        <v>#REF!</v>
      </c>
    </row>
    <row r="346" spans="1:28" x14ac:dyDescent="0.2">
      <c r="A346" s="5">
        <v>199038</v>
      </c>
      <c r="B346" s="5" t="s">
        <v>133</v>
      </c>
      <c r="C346" s="5">
        <v>226</v>
      </c>
      <c r="D346" s="5">
        <v>274</v>
      </c>
      <c r="E346" s="5">
        <v>91</v>
      </c>
      <c r="F346" s="5">
        <v>63</v>
      </c>
      <c r="G346" s="5">
        <v>87</v>
      </c>
      <c r="H346" s="5">
        <v>88</v>
      </c>
      <c r="I346" s="5">
        <v>86</v>
      </c>
      <c r="J346" s="5">
        <f>SUM(E346:I346)</f>
        <v>415</v>
      </c>
      <c r="K346" s="5">
        <v>195</v>
      </c>
      <c r="L346" s="5">
        <v>99</v>
      </c>
      <c r="M346" s="5"/>
      <c r="N346" s="5">
        <v>10</v>
      </c>
      <c r="O346" s="5">
        <v>17</v>
      </c>
      <c r="P346" s="5">
        <v>30</v>
      </c>
      <c r="Q346" s="5">
        <v>1.5</v>
      </c>
      <c r="R346" s="5">
        <f>MAX(25, INT(POWER(2.2,J346/45)))</f>
        <v>1438</v>
      </c>
      <c r="S346" s="5">
        <v>0</v>
      </c>
      <c r="T346" s="5">
        <v>3</v>
      </c>
      <c r="U346" s="5" t="s">
        <v>290</v>
      </c>
      <c r="V346" s="5"/>
      <c r="W346" s="5" t="s">
        <v>325</v>
      </c>
      <c r="X346" s="5"/>
      <c r="Y346" s="5" t="s">
        <v>187</v>
      </c>
      <c r="Z346" s="10" t="s">
        <v>166</v>
      </c>
      <c r="AA346" s="5" t="s">
        <v>519</v>
      </c>
      <c r="AB346" t="e">
        <f>COUNTIF([1]Sheet1!#REF!, "*"&amp; A346&amp;"*")</f>
        <v>#REF!</v>
      </c>
    </row>
    <row r="347" spans="1:28" x14ac:dyDescent="0.2">
      <c r="A347" s="5">
        <v>199039</v>
      </c>
      <c r="B347" s="5" t="s">
        <v>140</v>
      </c>
      <c r="C347" s="5">
        <v>192</v>
      </c>
      <c r="D347" s="5">
        <v>220</v>
      </c>
      <c r="E347" s="5">
        <v>75</v>
      </c>
      <c r="F347" s="5">
        <v>79</v>
      </c>
      <c r="G347" s="5">
        <v>44</v>
      </c>
      <c r="H347" s="5">
        <v>55</v>
      </c>
      <c r="I347" s="5">
        <v>50</v>
      </c>
      <c r="J347" s="5">
        <f>SUM(E347:I347)</f>
        <v>303</v>
      </c>
      <c r="K347" s="5">
        <v>220</v>
      </c>
      <c r="L347" s="5">
        <v>99</v>
      </c>
      <c r="M347" s="5"/>
      <c r="N347" s="5">
        <v>10</v>
      </c>
      <c r="O347" s="5">
        <v>17</v>
      </c>
      <c r="P347" s="5">
        <v>30</v>
      </c>
      <c r="Q347" s="5">
        <v>1.5</v>
      </c>
      <c r="R347" s="5">
        <f>MAX(25, INT(POWER(2.2,J347/45)))</f>
        <v>202</v>
      </c>
      <c r="S347" s="5">
        <v>0</v>
      </c>
      <c r="T347" s="5">
        <v>3</v>
      </c>
      <c r="U347" s="5" t="s">
        <v>290</v>
      </c>
      <c r="V347" s="5"/>
      <c r="W347" s="5"/>
      <c r="X347" s="5"/>
      <c r="Y347" s="5" t="s">
        <v>187</v>
      </c>
      <c r="Z347" s="10" t="s">
        <v>340</v>
      </c>
      <c r="AA347" s="5" t="s">
        <v>445</v>
      </c>
      <c r="AB347" t="e">
        <f>COUNTIF([1]Sheet1!#REF!, "*"&amp; A347&amp;"*")</f>
        <v>#REF!</v>
      </c>
    </row>
    <row r="348" spans="1:28" x14ac:dyDescent="0.2">
      <c r="A348" s="5">
        <v>199040</v>
      </c>
      <c r="B348" s="5" t="s">
        <v>146</v>
      </c>
      <c r="C348" s="5">
        <v>198</v>
      </c>
      <c r="D348" s="5">
        <v>222</v>
      </c>
      <c r="E348" s="5">
        <v>82</v>
      </c>
      <c r="F348" s="5">
        <v>73</v>
      </c>
      <c r="G348" s="5">
        <v>76</v>
      </c>
      <c r="H348" s="5">
        <v>75</v>
      </c>
      <c r="I348" s="5">
        <v>76</v>
      </c>
      <c r="J348" s="5">
        <f>SUM(E348:I348)</f>
        <v>382</v>
      </c>
      <c r="K348" s="5">
        <v>315</v>
      </c>
      <c r="L348" s="5">
        <v>99</v>
      </c>
      <c r="M348" s="5"/>
      <c r="N348" s="5">
        <v>10</v>
      </c>
      <c r="O348" s="5">
        <v>17</v>
      </c>
      <c r="P348" s="5"/>
      <c r="Q348" s="5"/>
      <c r="R348" s="5">
        <f>MAX(25, INT(POWER(2.2,J348/45)))</f>
        <v>806</v>
      </c>
      <c r="S348" s="5">
        <v>0</v>
      </c>
      <c r="T348" s="5">
        <v>1</v>
      </c>
      <c r="U348" s="5" t="s">
        <v>287</v>
      </c>
      <c r="V348" s="5"/>
      <c r="W348" s="5" t="s">
        <v>356</v>
      </c>
      <c r="X348" s="5"/>
      <c r="Y348" s="5" t="s">
        <v>313</v>
      </c>
      <c r="Z348" s="10" t="s">
        <v>71</v>
      </c>
      <c r="AA348" s="5" t="s">
        <v>526</v>
      </c>
      <c r="AB348" t="e">
        <f>COUNTIF([1]Sheet1!#REF!, "*"&amp; A348&amp;"*")</f>
        <v>#REF!</v>
      </c>
    </row>
    <row r="349" spans="1:28" x14ac:dyDescent="0.2">
      <c r="A349" s="5">
        <v>199041</v>
      </c>
      <c r="B349" s="5" t="s">
        <v>951</v>
      </c>
      <c r="C349" s="5">
        <v>190</v>
      </c>
      <c r="D349" s="5">
        <v>256</v>
      </c>
      <c r="E349" s="5">
        <v>53</v>
      </c>
      <c r="F349" s="5">
        <v>62</v>
      </c>
      <c r="G349" s="5">
        <v>45</v>
      </c>
      <c r="H349" s="5">
        <v>55</v>
      </c>
      <c r="I349" s="5">
        <v>56</v>
      </c>
      <c r="J349" s="5">
        <f>SUM(E349:I349)</f>
        <v>271</v>
      </c>
      <c r="K349" s="5">
        <v>310</v>
      </c>
      <c r="L349" s="5">
        <v>99</v>
      </c>
      <c r="M349" s="5"/>
      <c r="N349" s="5">
        <v>10</v>
      </c>
      <c r="O349" s="5">
        <v>17</v>
      </c>
      <c r="P349" s="5"/>
      <c r="Q349" s="5"/>
      <c r="R349" s="5">
        <f>MAX(25, INT(POWER(2.2,J349/45)))</f>
        <v>115</v>
      </c>
      <c r="S349" s="5">
        <v>0</v>
      </c>
      <c r="T349" s="5">
        <v>1</v>
      </c>
      <c r="U349" s="5" t="s">
        <v>298</v>
      </c>
      <c r="V349" s="5"/>
      <c r="W349" s="5"/>
      <c r="X349" s="5"/>
      <c r="Y349" s="5" t="s">
        <v>185</v>
      </c>
      <c r="Z349" s="10" t="s">
        <v>337</v>
      </c>
      <c r="AA349" s="5" t="s">
        <v>952</v>
      </c>
      <c r="AB349" t="e">
        <f>COUNTIF([1]Sheet1!#REF!, "*"&amp; A349&amp;"*")</f>
        <v>#REF!</v>
      </c>
    </row>
    <row r="350" spans="1:28" x14ac:dyDescent="0.2">
      <c r="A350" s="5">
        <v>199042</v>
      </c>
      <c r="B350" s="5" t="s">
        <v>136</v>
      </c>
      <c r="C350" s="5">
        <v>198</v>
      </c>
      <c r="D350" s="5">
        <v>249</v>
      </c>
      <c r="E350" s="5">
        <v>75</v>
      </c>
      <c r="F350" s="5">
        <v>69</v>
      </c>
      <c r="G350" s="5">
        <v>68</v>
      </c>
      <c r="H350" s="5">
        <v>59</v>
      </c>
      <c r="I350" s="5">
        <v>64</v>
      </c>
      <c r="J350" s="5">
        <f>SUM(E350:I350)</f>
        <v>335</v>
      </c>
      <c r="K350" s="5">
        <v>310</v>
      </c>
      <c r="L350" s="5">
        <v>99</v>
      </c>
      <c r="M350" s="5"/>
      <c r="N350" s="5">
        <v>10</v>
      </c>
      <c r="O350" s="5">
        <v>17</v>
      </c>
      <c r="P350" s="5"/>
      <c r="Q350" s="5"/>
      <c r="R350" s="5">
        <f>MAX(25, INT(POWER(2.2,J350/45)))</f>
        <v>354</v>
      </c>
      <c r="S350" s="5">
        <v>0</v>
      </c>
      <c r="T350" s="5">
        <v>1</v>
      </c>
      <c r="U350" s="5" t="s">
        <v>287</v>
      </c>
      <c r="V350" s="5"/>
      <c r="W350" s="5" t="s">
        <v>350</v>
      </c>
      <c r="X350" s="5"/>
      <c r="Y350" s="5" t="s">
        <v>313</v>
      </c>
      <c r="Z350" s="10" t="s">
        <v>71</v>
      </c>
      <c r="AA350" s="5" t="s">
        <v>522</v>
      </c>
      <c r="AB350" t="e">
        <f>COUNTIF([1]Sheet1!#REF!, "*"&amp; A350&amp;"*")</f>
        <v>#REF!</v>
      </c>
    </row>
    <row r="351" spans="1:28" x14ac:dyDescent="0.2">
      <c r="A351" s="5">
        <v>199043</v>
      </c>
      <c r="B351" s="5" t="s">
        <v>740</v>
      </c>
      <c r="C351" s="5">
        <v>193</v>
      </c>
      <c r="D351" s="5">
        <v>236</v>
      </c>
      <c r="E351" s="5">
        <v>69</v>
      </c>
      <c r="F351" s="5">
        <v>53</v>
      </c>
      <c r="G351" s="5">
        <v>69</v>
      </c>
      <c r="H351" s="5">
        <v>70</v>
      </c>
      <c r="I351" s="5">
        <v>70</v>
      </c>
      <c r="J351" s="5">
        <f>SUM(E351:I351)</f>
        <v>331</v>
      </c>
      <c r="K351" s="5">
        <v>310</v>
      </c>
      <c r="L351" s="5">
        <v>99</v>
      </c>
      <c r="M351" s="5"/>
      <c r="N351" s="5">
        <v>10</v>
      </c>
      <c r="O351" s="5">
        <v>17</v>
      </c>
      <c r="P351" s="5"/>
      <c r="Q351" s="5"/>
      <c r="R351" s="5">
        <f>MAX(25, INT(POWER(2.2,J351/45)))</f>
        <v>330</v>
      </c>
      <c r="S351" s="5">
        <v>0</v>
      </c>
      <c r="T351" s="5">
        <v>1</v>
      </c>
      <c r="U351" s="5" t="s">
        <v>298</v>
      </c>
      <c r="V351" s="5"/>
      <c r="W351" s="5"/>
      <c r="X351" s="5"/>
      <c r="Y351" s="5" t="s">
        <v>185</v>
      </c>
      <c r="Z351" s="10" t="s">
        <v>337</v>
      </c>
      <c r="AA351" s="5" t="s">
        <v>909</v>
      </c>
      <c r="AB351" t="e">
        <f>COUNTIF([1]Sheet1!#REF!, "*"&amp; A351&amp;"*")</f>
        <v>#REF!</v>
      </c>
    </row>
  </sheetData>
  <autoFilter ref="A4:AA351">
    <sortState ref="A5:AA351">
      <sortCondition ref="L4:L351"/>
    </sortState>
  </autoFilter>
  <sortState ref="A5:Q43">
    <sortCondition ref="A41"/>
  </sortState>
  <phoneticPr fontId="2" type="noConversion"/>
  <conditionalFormatting sqref="H323:I328 E308:I309 H312:I319 E312:G351 E281:I299 H181:I181 E5:I14 E166:F166 F167 F168:I168 E119:F119 E169:F169 E170:I170 E172:I172 E171:F171 E176:G177 E180:G181 E182:F182 E173:F175 E178:F179 E183:I274 E120:I165 H19:I88 E19:G118">
    <cfRule type="cellIs" dxfId="178" priority="335" operator="greaterThanOrEqual">
      <formula>90</formula>
    </cfRule>
  </conditionalFormatting>
  <conditionalFormatting sqref="K340:K342 K323:K330 K332:K333 K5:K14 K181:K186 K312:K321 K299:K309 K281 K220:K225 K93:K123 K206:K209 K227:K274 K19:K51 K88:K90 K145:K176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{6D27258E-286A-4BBA-996A-016D40224027}</x14:id>
        </ext>
      </extLst>
    </cfRule>
  </conditionalFormatting>
  <conditionalFormatting sqref="H93:I118 H89:I90">
    <cfRule type="cellIs" dxfId="177" priority="333" operator="greaterThanOrEqual">
      <formula>90</formula>
    </cfRule>
  </conditionalFormatting>
  <conditionalFormatting sqref="H330:I330">
    <cfRule type="cellIs" dxfId="176" priority="331" operator="greaterThanOrEqual">
      <formula>90</formula>
    </cfRule>
  </conditionalFormatting>
  <conditionalFormatting sqref="K340:K342 K166:K176 K323:K330 K181:K186 K332:K333 K274 K312:K321 K299:K309 K281 K220:K225 K206:K209 K227:K272"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{89569351-4EC6-40D7-B258-5869F2C87309}</x14:id>
        </ext>
      </extLst>
    </cfRule>
  </conditionalFormatting>
  <conditionalFormatting sqref="H329:I329">
    <cfRule type="cellIs" dxfId="175" priority="329" operator="greaterThanOrEqual">
      <formula>90</formula>
    </cfRule>
  </conditionalFormatting>
  <conditionalFormatting sqref="K329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{5747AD9A-30C0-4FA1-8964-61F75CF9B94A}</x14:id>
        </ext>
      </extLst>
    </cfRule>
  </conditionalFormatting>
  <conditionalFormatting sqref="H332:I332">
    <cfRule type="cellIs" dxfId="174" priority="327" operator="greaterThanOrEqual">
      <formula>90</formula>
    </cfRule>
  </conditionalFormatting>
  <conditionalFormatting sqref="K332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{290C0596-F881-4667-80DD-345DFA45DFC3}</x14:id>
        </ext>
      </extLst>
    </cfRule>
  </conditionalFormatting>
  <conditionalFormatting sqref="K273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{51A5D7DF-89C2-4665-90DC-CA042A9461FD}</x14:id>
        </ext>
      </extLst>
    </cfRule>
  </conditionalFormatting>
  <conditionalFormatting sqref="H333:I333">
    <cfRule type="cellIs" dxfId="173" priority="322" operator="greaterThanOrEqual">
      <formula>90</formula>
    </cfRule>
  </conditionalFormatting>
  <conditionalFormatting sqref="K333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{60941D5F-35EE-4787-808B-E223453097C1}</x14:id>
        </ext>
      </extLst>
    </cfRule>
  </conditionalFormatting>
  <conditionalFormatting sqref="H340:I340">
    <cfRule type="cellIs" dxfId="172" priority="320" operator="greaterThanOrEqual">
      <formula>90</formula>
    </cfRule>
  </conditionalFormatting>
  <conditionalFormatting sqref="K340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{7D049A95-BE4F-40CF-96E1-0BB1395EABCB}</x14:id>
        </ext>
      </extLst>
    </cfRule>
  </conditionalFormatting>
  <conditionalFormatting sqref="H341:I341">
    <cfRule type="cellIs" dxfId="171" priority="318" operator="greaterThanOrEqual">
      <formula>90</formula>
    </cfRule>
  </conditionalFormatting>
  <conditionalFormatting sqref="K34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{16F0B95A-40FC-44A3-BC81-E0B17B15C13D}</x14:id>
        </ext>
      </extLst>
    </cfRule>
  </conditionalFormatting>
  <conditionalFormatting sqref="H342:I342">
    <cfRule type="cellIs" dxfId="170" priority="316" operator="greaterThanOrEqual">
      <formula>90</formula>
    </cfRule>
  </conditionalFormatting>
  <conditionalFormatting sqref="K342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{B5B78097-DB73-45FB-A181-D68272AA0477}</x14:id>
        </ext>
      </extLst>
    </cfRule>
  </conditionalFormatting>
  <conditionalFormatting sqref="K273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{0D6DE7FA-908E-4433-AACD-B46895A3B187}</x14:id>
        </ext>
      </extLst>
    </cfRule>
  </conditionalFormatting>
  <conditionalFormatting sqref="K343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{F83EE768-6456-4DFC-A32A-DD825D9833DE}</x14:id>
        </ext>
      </extLst>
    </cfRule>
  </conditionalFormatting>
  <conditionalFormatting sqref="K343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{143D3CBF-0919-472B-9D1D-66DFC3229637}</x14:id>
        </ext>
      </extLst>
    </cfRule>
  </conditionalFormatting>
  <conditionalFormatting sqref="H343:I343">
    <cfRule type="cellIs" dxfId="169" priority="311" operator="greaterThanOrEqual">
      <formula>90</formula>
    </cfRule>
  </conditionalFormatting>
  <conditionalFormatting sqref="K343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{E4F7FACC-0A58-4AE9-A924-5263E6D9EFBC}</x14:id>
        </ext>
      </extLst>
    </cfRule>
  </conditionalFormatting>
  <conditionalFormatting sqref="K344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{3BB369B6-B4A0-47D5-BC41-6C2AD7D8266B}</x14:id>
        </ext>
      </extLst>
    </cfRule>
  </conditionalFormatting>
  <conditionalFormatting sqref="K344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{E7BBACD2-EEC3-4487-BA6A-9AEDA50E7EA6}</x14:id>
        </ext>
      </extLst>
    </cfRule>
  </conditionalFormatting>
  <conditionalFormatting sqref="H344:I344">
    <cfRule type="cellIs" dxfId="168" priority="307" operator="greaterThanOrEqual">
      <formula>90</formula>
    </cfRule>
  </conditionalFormatting>
  <conditionalFormatting sqref="K344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{5C49F946-3EB1-4074-B86B-8F538F638A68}</x14:id>
        </ext>
      </extLst>
    </cfRule>
  </conditionalFormatting>
  <conditionalFormatting sqref="K345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{0E95A6F8-3D61-4ECB-8313-A394F8C9CA83}</x14:id>
        </ext>
      </extLst>
    </cfRule>
  </conditionalFormatting>
  <conditionalFormatting sqref="K345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{1B937831-179C-40FC-9F80-A5C818D75A1D}</x14:id>
        </ext>
      </extLst>
    </cfRule>
  </conditionalFormatting>
  <conditionalFormatting sqref="H345:I345">
    <cfRule type="cellIs" dxfId="167" priority="303" operator="greaterThanOrEqual">
      <formula>90</formula>
    </cfRule>
  </conditionalFormatting>
  <conditionalFormatting sqref="K345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{49833E3D-D536-4BEF-835B-07451AA1E9C3}</x14:id>
        </ext>
      </extLst>
    </cfRule>
  </conditionalFormatting>
  <conditionalFormatting sqref="K340:K345 K323:K330 K332:K333 K5:K14 K181:K186 K312:K321 K299:K309 K281 K220:K225 K93:K123 K206:K209 K227:K274 K19:K51 K88:K90 K145:K176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{759578B6-F4BA-4A8B-8E09-AB7FAA44A561}</x14:id>
        </ext>
      </extLst>
    </cfRule>
  </conditionalFormatting>
  <conditionalFormatting sqref="H320:I320">
    <cfRule type="cellIs" dxfId="166" priority="298" operator="greaterThanOrEqual">
      <formula>90</formula>
    </cfRule>
  </conditionalFormatting>
  <conditionalFormatting sqref="H321:I321">
    <cfRule type="cellIs" dxfId="165" priority="297" operator="greaterThanOrEqual">
      <formula>90</formula>
    </cfRule>
  </conditionalFormatting>
  <conditionalFormatting sqref="H346:I346">
    <cfRule type="cellIs" dxfId="164" priority="296" operator="greaterThanOrEqual">
      <formula>90</formula>
    </cfRule>
  </conditionalFormatting>
  <conditionalFormatting sqref="H347:I347">
    <cfRule type="cellIs" dxfId="163" priority="295" operator="greaterThanOrEqual">
      <formula>90</formula>
    </cfRule>
  </conditionalFormatting>
  <conditionalFormatting sqref="H348:I348">
    <cfRule type="cellIs" dxfId="162" priority="294" operator="greaterThanOrEqual">
      <formula>90</formula>
    </cfRule>
  </conditionalFormatting>
  <conditionalFormatting sqref="H334:I334">
    <cfRule type="cellIs" dxfId="161" priority="293" operator="greaterThanOrEqual">
      <formula>90</formula>
    </cfRule>
  </conditionalFormatting>
  <conditionalFormatting sqref="H335:I335">
    <cfRule type="cellIs" dxfId="160" priority="288" operator="greaterThanOrEqual">
      <formula>90</formula>
    </cfRule>
  </conditionalFormatting>
  <conditionalFormatting sqref="H336:I336">
    <cfRule type="cellIs" dxfId="159" priority="287" operator="greaterThanOrEqual">
      <formula>90</formula>
    </cfRule>
  </conditionalFormatting>
  <conditionalFormatting sqref="H337:I337">
    <cfRule type="cellIs" dxfId="158" priority="286" operator="greaterThanOrEqual">
      <formula>90</formula>
    </cfRule>
  </conditionalFormatting>
  <conditionalFormatting sqref="H338:I338">
    <cfRule type="cellIs" dxfId="157" priority="285" operator="greaterThanOrEqual">
      <formula>90</formula>
    </cfRule>
  </conditionalFormatting>
  <conditionalFormatting sqref="H339:I339">
    <cfRule type="cellIs" dxfId="156" priority="284" operator="greaterThanOrEqual">
      <formula>90</formula>
    </cfRule>
  </conditionalFormatting>
  <conditionalFormatting sqref="K334:K339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{A920A414-E4F9-4E2D-9513-A6931876CE7B}</x14:id>
        </ext>
      </extLst>
    </cfRule>
  </conditionalFormatting>
  <conditionalFormatting sqref="K334:K339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{194118F1-D462-4450-9B06-F363BF9160D0}</x14:id>
        </ext>
      </extLst>
    </cfRule>
  </conditionalFormatting>
  <conditionalFormatting sqref="K334:K339"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{0E536859-5B5C-4BD2-8D76-4F61356FE406}</x14:id>
        </ext>
      </extLst>
    </cfRule>
  </conditionalFormatting>
  <conditionalFormatting sqref="K346:K348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{4D7B914B-CD20-488B-9D82-3BFDFFD2FD62}</x14:id>
        </ext>
      </extLst>
    </cfRule>
  </conditionalFormatting>
  <conditionalFormatting sqref="K346:K348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{09C40B8E-EA5B-4F04-A60C-E6D451D33B09}</x14:id>
        </ext>
      </extLst>
    </cfRule>
  </conditionalFormatting>
  <conditionalFormatting sqref="K346:K348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{AAE43648-3924-4CC9-8F60-05C0F2111487}</x14:id>
        </ext>
      </extLst>
    </cfRule>
  </conditionalFormatting>
  <conditionalFormatting sqref="H322:I322">
    <cfRule type="cellIs" dxfId="155" priority="277" operator="greaterThanOrEqual">
      <formula>90</formula>
    </cfRule>
  </conditionalFormatting>
  <conditionalFormatting sqref="K322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{7D2393E4-2AEF-41DF-B003-A8528B2B78C8}</x14:id>
        </ext>
      </extLst>
    </cfRule>
  </conditionalFormatting>
  <conditionalFormatting sqref="K322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{6AD154EB-1656-45E0-8778-8D6BE129AEE8}</x14:id>
        </ext>
      </extLst>
    </cfRule>
  </conditionalFormatting>
  <conditionalFormatting sqref="K322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{89EC9433-D839-44A4-817B-624E802CA2D2}</x14:id>
        </ext>
      </extLst>
    </cfRule>
  </conditionalFormatting>
  <conditionalFormatting sqref="K177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{1B1E32D7-7F2F-4843-BD47-AF15B0A3EE6C}</x14:id>
        </ext>
      </extLst>
    </cfRule>
  </conditionalFormatting>
  <conditionalFormatting sqref="K177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{6E8BD056-C40A-4A9A-ACF6-73E041B30412}</x14:id>
        </ext>
      </extLst>
    </cfRule>
  </conditionalFormatting>
  <conditionalFormatting sqref="K177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{A3F10246-BBEC-400C-B955-A0AAD0903028}</x14:id>
        </ext>
      </extLst>
    </cfRule>
  </conditionalFormatting>
  <conditionalFormatting sqref="H177:I177">
    <cfRule type="cellIs" dxfId="154" priority="270" operator="greaterThanOrEqual">
      <formula>90</formula>
    </cfRule>
  </conditionalFormatting>
  <conditionalFormatting sqref="H91:I91">
    <cfRule type="cellIs" dxfId="153" priority="269" operator="greaterThanOrEqual">
      <formula>90</formula>
    </cfRule>
  </conditionalFormatting>
  <conditionalFormatting sqref="K91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{33156F16-23D3-49FB-BD69-61F17207F66D}</x14:id>
        </ext>
      </extLst>
    </cfRule>
  </conditionalFormatting>
  <conditionalFormatting sqref="K91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{F4050B96-9155-465E-AB20-5B4D19299A59}</x14:id>
        </ext>
      </extLst>
    </cfRule>
  </conditionalFormatting>
  <conditionalFormatting sqref="K178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{FEFC999C-28A3-48A4-92D5-983E78BE477A}</x14:id>
        </ext>
      </extLst>
    </cfRule>
  </conditionalFormatting>
  <conditionalFormatting sqref="K178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{B6FDB7E2-D826-4743-AA79-7DEC7D0C1B1C}</x14:id>
        </ext>
      </extLst>
    </cfRule>
  </conditionalFormatting>
  <conditionalFormatting sqref="K178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{EF047C26-4A03-4DE8-BB2C-21FA24017A53}</x14:id>
        </ext>
      </extLst>
    </cfRule>
  </conditionalFormatting>
  <conditionalFormatting sqref="K349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{9F616835-EC05-49EF-8397-2CB880AC8C5F}</x14:id>
        </ext>
      </extLst>
    </cfRule>
  </conditionalFormatting>
  <conditionalFormatting sqref="K349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{2AB6DF0C-9143-45B9-A5E1-B72CBF21292B}</x14:id>
        </ext>
      </extLst>
    </cfRule>
  </conditionalFormatting>
  <conditionalFormatting sqref="H349:I349">
    <cfRule type="cellIs" dxfId="152" priority="260" operator="greaterThanOrEqual">
      <formula>90</formula>
    </cfRule>
  </conditionalFormatting>
  <conditionalFormatting sqref="K349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{830CCE14-E5E0-451B-9E12-36FBF6AA5A97}</x14:id>
        </ext>
      </extLst>
    </cfRule>
  </conditionalFormatting>
  <conditionalFormatting sqref="K349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{B2973B7F-6E17-4B03-B3E8-C6DD4D4DADC6}</x14:id>
        </ext>
      </extLst>
    </cfRule>
  </conditionalFormatting>
  <conditionalFormatting sqref="K331"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{35CD999C-F217-4618-83AA-89C0903F3DEA}</x14:id>
        </ext>
      </extLst>
    </cfRule>
  </conditionalFormatting>
  <conditionalFormatting sqref="H331:I331">
    <cfRule type="cellIs" dxfId="151" priority="256" operator="greaterThanOrEqual">
      <formula>90</formula>
    </cfRule>
  </conditionalFormatting>
  <conditionalFormatting sqref="K33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{4D822373-FECE-4254-B01F-A5B02BE18050}</x14:id>
        </ext>
      </extLst>
    </cfRule>
  </conditionalFormatting>
  <conditionalFormatting sqref="K331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{FE582ED9-81E3-417C-ACF5-EB1E5D390780}</x14:id>
        </ext>
      </extLst>
    </cfRule>
  </conditionalFormatting>
  <conditionalFormatting sqref="K350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{BA0CF356-84D8-4144-AAB7-283E19F40B11}</x14:id>
        </ext>
      </extLst>
    </cfRule>
  </conditionalFormatting>
  <conditionalFormatting sqref="K350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{0F0440D3-8BAB-423E-A8BB-67E659699001}</x14:id>
        </ext>
      </extLst>
    </cfRule>
  </conditionalFormatting>
  <conditionalFormatting sqref="H350:I350">
    <cfRule type="cellIs" dxfId="150" priority="251" operator="greaterThanOrEqual">
      <formula>90</formula>
    </cfRule>
  </conditionalFormatting>
  <conditionalFormatting sqref="K350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{9D20DC01-F0E3-4B80-9D00-7D0B24B8C89F}</x14:id>
        </ext>
      </extLst>
    </cfRule>
  </conditionalFormatting>
  <conditionalFormatting sqref="K350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{361623A9-807F-4A08-949E-20344A2E9C48}</x14:id>
        </ext>
      </extLst>
    </cfRule>
  </conditionalFormatting>
  <conditionalFormatting sqref="K179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{5C9B3ADB-15E7-4D5E-B1E9-222893C9F0F8}</x14:id>
        </ext>
      </extLst>
    </cfRule>
  </conditionalFormatting>
  <conditionalFormatting sqref="K179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{BA65D940-DBE4-4452-BF8D-9B9F9806A050}</x14:id>
        </ext>
      </extLst>
    </cfRule>
  </conditionalFormatting>
  <conditionalFormatting sqref="K179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{46CE5ABB-1E01-4399-9EFD-045202645811}</x14:id>
        </ext>
      </extLst>
    </cfRule>
  </conditionalFormatting>
  <conditionalFormatting sqref="K179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{AF9C6A0B-AED2-4256-B0B3-DA1A125167AE}</x14:id>
        </ext>
      </extLst>
    </cfRule>
  </conditionalFormatting>
  <conditionalFormatting sqref="K351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{887E5351-57DA-49BF-8966-9ADECADAC91A}</x14:id>
        </ext>
      </extLst>
    </cfRule>
  </conditionalFormatting>
  <conditionalFormatting sqref="K351"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{E89D53E5-C268-42E9-9A48-E8B6BC6BE13B}</x14:id>
        </ext>
      </extLst>
    </cfRule>
  </conditionalFormatting>
  <conditionalFormatting sqref="H351:I351">
    <cfRule type="cellIs" dxfId="149" priority="241" operator="greaterThanOrEqual">
      <formula>90</formula>
    </cfRule>
  </conditionalFormatting>
  <conditionalFormatting sqref="K351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{9128611D-0012-40DE-B328-3A91210C06A9}</x14:id>
        </ext>
      </extLst>
    </cfRule>
  </conditionalFormatting>
  <conditionalFormatting sqref="K351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{BF118C4C-8F2C-41CD-B84D-88EA5BF2CA77}</x14:id>
        </ext>
      </extLst>
    </cfRule>
  </conditionalFormatting>
  <conditionalFormatting sqref="H180:I180">
    <cfRule type="cellIs" dxfId="148" priority="238" operator="greaterThanOrEqual">
      <formula>90</formula>
    </cfRule>
  </conditionalFormatting>
  <conditionalFormatting sqref="K180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{E4302F84-A67D-4362-9EEC-AA58C2B34336}</x14:id>
        </ext>
      </extLst>
    </cfRule>
  </conditionalFormatting>
  <conditionalFormatting sqref="K180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{6A023DB8-62F6-4111-867B-773E76297DD9}</x14:id>
        </ext>
      </extLst>
    </cfRule>
  </conditionalFormatting>
  <conditionalFormatting sqref="K180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{EDB7077A-02F6-4190-86E4-6B9091E59479}</x14:id>
        </ext>
      </extLst>
    </cfRule>
  </conditionalFormatting>
  <conditionalFormatting sqref="H92:I92">
    <cfRule type="cellIs" dxfId="147" priority="234" operator="greaterThanOrEqual">
      <formula>90</formula>
    </cfRule>
  </conditionalFormatting>
  <conditionalFormatting sqref="K92"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{E06D961F-60D3-4F30-AC7D-752D9022DA0B}</x14:id>
        </ext>
      </extLst>
    </cfRule>
  </conditionalFormatting>
  <conditionalFormatting sqref="K92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{82C00C9E-16C4-430A-894C-A1AA6D525001}</x14:id>
        </ext>
      </extLst>
    </cfRule>
  </conditionalFormatting>
  <conditionalFormatting sqref="U1:U14 U308:U309 U312:U1048576 U299 U281 U206:U209 U220:U246 U263:U274 U88:U123 U145:U186 U19:U86">
    <cfRule type="cellIs" dxfId="146" priority="222" operator="equal">
      <formula>"炮"</formula>
    </cfRule>
    <cfRule type="cellIs" dxfId="145" priority="223" operator="equal">
      <formula>"弩"</formula>
    </cfRule>
    <cfRule type="cellIs" dxfId="144" priority="224" operator="equal">
      <formula>"弓"</formula>
    </cfRule>
    <cfRule type="cellIs" dxfId="143" priority="225" operator="equal">
      <formula>"医"</formula>
    </cfRule>
    <cfRule type="cellIs" dxfId="142" priority="226" operator="equal">
      <formula>"乐"</formula>
    </cfRule>
    <cfRule type="cellIs" dxfId="141" priority="227" operator="equal">
      <formula>"鼓"</formula>
    </cfRule>
    <cfRule type="cellIs" dxfId="140" priority="228" operator="equal">
      <formula>"相"</formula>
    </cfRule>
    <cfRule type="cellIs" dxfId="139" priority="229" operator="equal">
      <formula>"扇"</formula>
    </cfRule>
    <cfRule type="cellIs" dxfId="138" priority="230" operator="equal">
      <formula>"谋"</formula>
    </cfRule>
    <cfRule type="cellIs" dxfId="137" priority="231" operator="equal">
      <formula>"帅"</formula>
    </cfRule>
  </conditionalFormatting>
  <conditionalFormatting sqref="U300:U307">
    <cfRule type="cellIs" dxfId="136" priority="197" operator="equal">
      <formula>"炮"</formula>
    </cfRule>
    <cfRule type="cellIs" dxfId="135" priority="198" operator="equal">
      <formula>"弩"</formula>
    </cfRule>
    <cfRule type="cellIs" dxfId="134" priority="199" operator="equal">
      <formula>"弓"</formula>
    </cfRule>
    <cfRule type="cellIs" dxfId="133" priority="200" operator="equal">
      <formula>"医"</formula>
    </cfRule>
    <cfRule type="cellIs" dxfId="132" priority="201" operator="equal">
      <formula>"乐"</formula>
    </cfRule>
    <cfRule type="cellIs" dxfId="131" priority="202" operator="equal">
      <formula>"鼓"</formula>
    </cfRule>
    <cfRule type="cellIs" dxfId="130" priority="203" operator="equal">
      <formula>"相"</formula>
    </cfRule>
    <cfRule type="cellIs" dxfId="129" priority="204" operator="equal">
      <formula>"扇"</formula>
    </cfRule>
    <cfRule type="cellIs" dxfId="128" priority="205" operator="equal">
      <formula>"谋"</formula>
    </cfRule>
    <cfRule type="cellIs" dxfId="127" priority="206" operator="equal">
      <formula>"帅"</formula>
    </cfRule>
  </conditionalFormatting>
  <conditionalFormatting sqref="K310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{883DFD82-3586-4502-8A4F-7000AFB5D864}</x14:id>
        </ext>
      </extLst>
    </cfRule>
  </conditionalFormatting>
  <conditionalFormatting sqref="K31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{2212BCF5-CE69-4ECB-9445-985A680346BB}</x14:id>
        </ext>
      </extLst>
    </cfRule>
  </conditionalFormatting>
  <conditionalFormatting sqref="K310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{6FF56287-8D75-42E0-BD0A-2CA7915937D0}</x14:id>
        </ext>
      </extLst>
    </cfRule>
  </conditionalFormatting>
  <conditionalFormatting sqref="U310">
    <cfRule type="cellIs" dxfId="126" priority="184" operator="equal">
      <formula>"炮"</formula>
    </cfRule>
    <cfRule type="cellIs" dxfId="125" priority="185" operator="equal">
      <formula>"弩"</formula>
    </cfRule>
    <cfRule type="cellIs" dxfId="124" priority="186" operator="equal">
      <formula>"弓"</formula>
    </cfRule>
    <cfRule type="cellIs" dxfId="123" priority="187" operator="equal">
      <formula>"医"</formula>
    </cfRule>
    <cfRule type="cellIs" dxfId="122" priority="188" operator="equal">
      <formula>"乐"</formula>
    </cfRule>
    <cfRule type="cellIs" dxfId="121" priority="189" operator="equal">
      <formula>"鼓"</formula>
    </cfRule>
    <cfRule type="cellIs" dxfId="120" priority="190" operator="equal">
      <formula>"相"</formula>
    </cfRule>
    <cfRule type="cellIs" dxfId="119" priority="191" operator="equal">
      <formula>"扇"</formula>
    </cfRule>
    <cfRule type="cellIs" dxfId="118" priority="192" operator="equal">
      <formula>"谋"</formula>
    </cfRule>
    <cfRule type="cellIs" dxfId="117" priority="193" operator="equal">
      <formula>"帅"</formula>
    </cfRule>
  </conditionalFormatting>
  <conditionalFormatting sqref="K311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{D6E1F70A-A3FB-4240-836E-DFA3E0092740}</x14:id>
        </ext>
      </extLst>
    </cfRule>
  </conditionalFormatting>
  <conditionalFormatting sqref="K311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{9A9984AD-E731-4FDE-865D-48CD8231A34B}</x14:id>
        </ext>
      </extLst>
    </cfRule>
  </conditionalFormatting>
  <conditionalFormatting sqref="K31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{AC2A7EB9-9084-4F68-B782-BBC33DEF3446}</x14:id>
        </ext>
      </extLst>
    </cfRule>
  </conditionalFormatting>
  <conditionalFormatting sqref="U311">
    <cfRule type="cellIs" dxfId="116" priority="171" operator="equal">
      <formula>"炮"</formula>
    </cfRule>
    <cfRule type="cellIs" dxfId="115" priority="172" operator="equal">
      <formula>"弩"</formula>
    </cfRule>
    <cfRule type="cellIs" dxfId="114" priority="173" operator="equal">
      <formula>"弓"</formula>
    </cfRule>
    <cfRule type="cellIs" dxfId="113" priority="174" operator="equal">
      <formula>"医"</formula>
    </cfRule>
    <cfRule type="cellIs" dxfId="112" priority="175" operator="equal">
      <formula>"乐"</formula>
    </cfRule>
    <cfRule type="cellIs" dxfId="111" priority="176" operator="equal">
      <formula>"鼓"</formula>
    </cfRule>
    <cfRule type="cellIs" dxfId="110" priority="177" operator="equal">
      <formula>"相"</formula>
    </cfRule>
    <cfRule type="cellIs" dxfId="109" priority="178" operator="equal">
      <formula>"扇"</formula>
    </cfRule>
    <cfRule type="cellIs" dxfId="108" priority="179" operator="equal">
      <formula>"谋"</formula>
    </cfRule>
    <cfRule type="cellIs" dxfId="107" priority="180" operator="equal">
      <formula>"帅"</formula>
    </cfRule>
  </conditionalFormatting>
  <conditionalFormatting sqref="K282:K298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{4FCBB145-53F6-4E02-B751-BAB1DB351C99}</x14:id>
        </ext>
      </extLst>
    </cfRule>
  </conditionalFormatting>
  <conditionalFormatting sqref="K282:K298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{11CF272B-2B97-455B-B2C7-D667DE4E6390}</x14:id>
        </ext>
      </extLst>
    </cfRule>
  </conditionalFormatting>
  <conditionalFormatting sqref="K282:K298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{BC342A2E-F5FA-468A-A8FE-BC32F0618DE9}</x14:id>
        </ext>
      </extLst>
    </cfRule>
  </conditionalFormatting>
  <conditionalFormatting sqref="U282:U298">
    <cfRule type="cellIs" dxfId="106" priority="158" operator="equal">
      <formula>"炮"</formula>
    </cfRule>
    <cfRule type="cellIs" dxfId="105" priority="159" operator="equal">
      <formula>"弩"</formula>
    </cfRule>
    <cfRule type="cellIs" dxfId="104" priority="160" operator="equal">
      <formula>"弓"</formula>
    </cfRule>
    <cfRule type="cellIs" dxfId="103" priority="161" operator="equal">
      <formula>"医"</formula>
    </cfRule>
    <cfRule type="cellIs" dxfId="102" priority="162" operator="equal">
      <formula>"乐"</formula>
    </cfRule>
    <cfRule type="cellIs" dxfId="101" priority="163" operator="equal">
      <formula>"鼓"</formula>
    </cfRule>
    <cfRule type="cellIs" dxfId="100" priority="164" operator="equal">
      <formula>"相"</formula>
    </cfRule>
    <cfRule type="cellIs" dxfId="99" priority="165" operator="equal">
      <formula>"扇"</formula>
    </cfRule>
    <cfRule type="cellIs" dxfId="98" priority="166" operator="equal">
      <formula>"谋"</formula>
    </cfRule>
    <cfRule type="cellIs" dxfId="97" priority="167" operator="equal">
      <formula>"帅"</formula>
    </cfRule>
  </conditionalFormatting>
  <conditionalFormatting sqref="E275:I280">
    <cfRule type="cellIs" dxfId="96" priority="157" operator="greaterThanOrEqual">
      <formula>90</formula>
    </cfRule>
  </conditionalFormatting>
  <conditionalFormatting sqref="K275:K280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{31DC3250-73CB-45F0-B039-3C31049F97FA}</x14:id>
        </ext>
      </extLst>
    </cfRule>
  </conditionalFormatting>
  <conditionalFormatting sqref="K275:K280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{9BB60D97-4F66-4F89-9829-F16B922F7053}</x14:id>
        </ext>
      </extLst>
    </cfRule>
  </conditionalFormatting>
  <conditionalFormatting sqref="K275:K280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{ABC47BCC-0049-4566-A391-46B5166A9ECA}</x14:id>
        </ext>
      </extLst>
    </cfRule>
  </conditionalFormatting>
  <conditionalFormatting sqref="U275:U280">
    <cfRule type="cellIs" dxfId="95" priority="144" operator="equal">
      <formula>"炮"</formula>
    </cfRule>
    <cfRule type="cellIs" dxfId="94" priority="145" operator="equal">
      <formula>"弩"</formula>
    </cfRule>
    <cfRule type="cellIs" dxfId="93" priority="146" operator="equal">
      <formula>"弓"</formula>
    </cfRule>
    <cfRule type="cellIs" dxfId="92" priority="147" operator="equal">
      <formula>"医"</formula>
    </cfRule>
    <cfRule type="cellIs" dxfId="91" priority="148" operator="equal">
      <formula>"乐"</formula>
    </cfRule>
    <cfRule type="cellIs" dxfId="90" priority="149" operator="equal">
      <formula>"鼓"</formula>
    </cfRule>
    <cfRule type="cellIs" dxfId="89" priority="150" operator="equal">
      <formula>"相"</formula>
    </cfRule>
    <cfRule type="cellIs" dxfId="88" priority="151" operator="equal">
      <formula>"扇"</formula>
    </cfRule>
    <cfRule type="cellIs" dxfId="87" priority="152" operator="equal">
      <formula>"谋"</formula>
    </cfRule>
    <cfRule type="cellIs" dxfId="86" priority="153" operator="equal">
      <formula>"帅"</formula>
    </cfRule>
  </conditionalFormatting>
  <conditionalFormatting sqref="U210:U219">
    <cfRule type="cellIs" dxfId="85" priority="131" operator="equal">
      <formula>"炮"</formula>
    </cfRule>
    <cfRule type="cellIs" dxfId="84" priority="132" operator="equal">
      <formula>"弩"</formula>
    </cfRule>
    <cfRule type="cellIs" dxfId="83" priority="133" operator="equal">
      <formula>"弓"</formula>
    </cfRule>
    <cfRule type="cellIs" dxfId="82" priority="134" operator="equal">
      <formula>"医"</formula>
    </cfRule>
    <cfRule type="cellIs" dxfId="81" priority="135" operator="equal">
      <formula>"乐"</formula>
    </cfRule>
    <cfRule type="cellIs" dxfId="80" priority="136" operator="equal">
      <formula>"鼓"</formula>
    </cfRule>
    <cfRule type="cellIs" dxfId="79" priority="137" operator="equal">
      <formula>"相"</formula>
    </cfRule>
    <cfRule type="cellIs" dxfId="78" priority="138" operator="equal">
      <formula>"扇"</formula>
    </cfRule>
    <cfRule type="cellIs" dxfId="77" priority="139" operator="equal">
      <formula>"谋"</formula>
    </cfRule>
    <cfRule type="cellIs" dxfId="76" priority="140" operator="equal">
      <formula>"帅"</formula>
    </cfRule>
  </conditionalFormatting>
  <conditionalFormatting sqref="K210:K219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{130071E8-01D3-4EC0-920A-2D450F8EB279}</x14:id>
        </ext>
      </extLst>
    </cfRule>
  </conditionalFormatting>
  <conditionalFormatting sqref="K226:K241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{485BB2CC-86FD-431F-BCF4-3FC3989398B9}</x14:id>
        </ext>
      </extLst>
    </cfRule>
  </conditionalFormatting>
  <conditionalFormatting sqref="G166">
    <cfRule type="cellIs" dxfId="75" priority="115" operator="greaterThanOrEqual">
      <formula>90</formula>
    </cfRule>
  </conditionalFormatting>
  <conditionalFormatting sqref="H166:I166">
    <cfRule type="cellIs" dxfId="74" priority="114" operator="greaterThanOrEqual">
      <formula>90</formula>
    </cfRule>
  </conditionalFormatting>
  <conditionalFormatting sqref="G167:I167">
    <cfRule type="cellIs" dxfId="73" priority="113" operator="greaterThanOrEqual">
      <formula>90</formula>
    </cfRule>
  </conditionalFormatting>
  <conditionalFormatting sqref="E167:E168">
    <cfRule type="cellIs" dxfId="72" priority="112" operator="greaterThanOrEqual">
      <formula>90</formula>
    </cfRule>
  </conditionalFormatting>
  <conditionalFormatting sqref="G119:I119">
    <cfRule type="cellIs" dxfId="71" priority="111" operator="greaterThanOrEqual">
      <formula>90</formula>
    </cfRule>
  </conditionalFormatting>
  <conditionalFormatting sqref="G169:I169">
    <cfRule type="cellIs" dxfId="70" priority="110" operator="greaterThanOrEqual">
      <formula>90</formula>
    </cfRule>
  </conditionalFormatting>
  <conditionalFormatting sqref="G171:I171">
    <cfRule type="cellIs" dxfId="69" priority="109" operator="greaterThanOrEqual">
      <formula>90</formula>
    </cfRule>
  </conditionalFormatting>
  <conditionalFormatting sqref="G173:I173">
    <cfRule type="cellIs" dxfId="68" priority="108" operator="greaterThanOrEqual">
      <formula>90</formula>
    </cfRule>
  </conditionalFormatting>
  <conditionalFormatting sqref="G174:I174">
    <cfRule type="cellIs" dxfId="67" priority="107" operator="greaterThanOrEqual">
      <formula>90</formula>
    </cfRule>
  </conditionalFormatting>
  <conditionalFormatting sqref="G178:I178">
    <cfRule type="cellIs" dxfId="66" priority="95" operator="greaterThanOrEqual">
      <formula>90</formula>
    </cfRule>
  </conditionalFormatting>
  <conditionalFormatting sqref="H176:I176">
    <cfRule type="cellIs" dxfId="65" priority="94" operator="greaterThanOrEqual">
      <formula>90</formula>
    </cfRule>
  </conditionalFormatting>
  <conditionalFormatting sqref="G182:I182">
    <cfRule type="cellIs" dxfId="64" priority="93" operator="greaterThanOrEqual">
      <formula>90</formula>
    </cfRule>
  </conditionalFormatting>
  <conditionalFormatting sqref="G175:I175">
    <cfRule type="cellIs" dxfId="63" priority="92" operator="greaterThanOrEqual">
      <formula>90</formula>
    </cfRule>
  </conditionalFormatting>
  <conditionalFormatting sqref="G179:I179">
    <cfRule type="cellIs" dxfId="62" priority="91" operator="greaterThanOrEqual">
      <formula>90</formula>
    </cfRule>
  </conditionalFormatting>
  <conditionalFormatting sqref="K187:K205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{F1E64D93-438F-4E80-945F-B9A84CC91601}</x14:id>
        </ext>
      </extLst>
    </cfRule>
  </conditionalFormatting>
  <conditionalFormatting sqref="K187:K205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{90761903-E6A3-4A4D-9272-709D8B455B54}</x14:id>
        </ext>
      </extLst>
    </cfRule>
  </conditionalFormatting>
  <conditionalFormatting sqref="K187:K205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{25EB0B04-9272-48EA-8800-13F8911FA64E}</x14:id>
        </ext>
      </extLst>
    </cfRule>
  </conditionalFormatting>
  <conditionalFormatting sqref="U187:U205">
    <cfRule type="cellIs" dxfId="61" priority="78" operator="equal">
      <formula>"炮"</formula>
    </cfRule>
    <cfRule type="cellIs" dxfId="60" priority="79" operator="equal">
      <formula>"弩"</formula>
    </cfRule>
    <cfRule type="cellIs" dxfId="59" priority="80" operator="equal">
      <formula>"弓"</formula>
    </cfRule>
    <cfRule type="cellIs" dxfId="58" priority="81" operator="equal">
      <formula>"医"</formula>
    </cfRule>
    <cfRule type="cellIs" dxfId="57" priority="82" operator="equal">
      <formula>"乐"</formula>
    </cfRule>
    <cfRule type="cellIs" dxfId="56" priority="83" operator="equal">
      <formula>"鼓"</formula>
    </cfRule>
    <cfRule type="cellIs" dxfId="55" priority="84" operator="equal">
      <formula>"相"</formula>
    </cfRule>
    <cfRule type="cellIs" dxfId="54" priority="85" operator="equal">
      <formula>"扇"</formula>
    </cfRule>
    <cfRule type="cellIs" dxfId="53" priority="86" operator="equal">
      <formula>"谋"</formula>
    </cfRule>
    <cfRule type="cellIs" dxfId="52" priority="87" operator="equal">
      <formula>"帅"</formula>
    </cfRule>
  </conditionalFormatting>
  <conditionalFormatting sqref="U247:U262">
    <cfRule type="cellIs" dxfId="51" priority="68" operator="equal">
      <formula>"炮"</formula>
    </cfRule>
    <cfRule type="cellIs" dxfId="50" priority="69" operator="equal">
      <formula>"弩"</formula>
    </cfRule>
    <cfRule type="cellIs" dxfId="49" priority="70" operator="equal">
      <formula>"弓"</formula>
    </cfRule>
    <cfRule type="cellIs" dxfId="48" priority="71" operator="equal">
      <formula>"医"</formula>
    </cfRule>
    <cfRule type="cellIs" dxfId="47" priority="72" operator="equal">
      <formula>"乐"</formula>
    </cfRule>
    <cfRule type="cellIs" dxfId="46" priority="73" operator="equal">
      <formula>"鼓"</formula>
    </cfRule>
    <cfRule type="cellIs" dxfId="45" priority="74" operator="equal">
      <formula>"相"</formula>
    </cfRule>
    <cfRule type="cellIs" dxfId="44" priority="75" operator="equal">
      <formula>"扇"</formula>
    </cfRule>
    <cfRule type="cellIs" dxfId="43" priority="76" operator="equal">
      <formula>"谋"</formula>
    </cfRule>
    <cfRule type="cellIs" dxfId="42" priority="77" operator="equal">
      <formula>"帅"</formula>
    </cfRule>
  </conditionalFormatting>
  <conditionalFormatting sqref="E15:I17">
    <cfRule type="cellIs" dxfId="41" priority="66" operator="greaterThanOrEqual">
      <formula>90</formula>
    </cfRule>
  </conditionalFormatting>
  <conditionalFormatting sqref="K15:K17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{4379AC9E-D224-4D2B-8C3F-1E8887EB4FED}</x14:id>
        </ext>
      </extLst>
    </cfRule>
  </conditionalFormatting>
  <conditionalFormatting sqref="K15:K17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{4E0FD3B9-1818-4D53-9A88-41B909459D7C}</x14:id>
        </ext>
      </extLst>
    </cfRule>
  </conditionalFormatting>
  <conditionalFormatting sqref="K15:K17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{2B52DEB6-7F2C-4D94-99E5-FF822D825FAC}</x14:id>
        </ext>
      </extLst>
    </cfRule>
  </conditionalFormatting>
  <conditionalFormatting sqref="U15:U17">
    <cfRule type="cellIs" dxfId="40" priority="54" operator="equal">
      <formula>"炮"</formula>
    </cfRule>
    <cfRule type="cellIs" dxfId="39" priority="55" operator="equal">
      <formula>"弩"</formula>
    </cfRule>
    <cfRule type="cellIs" dxfId="38" priority="56" operator="equal">
      <formula>"弓"</formula>
    </cfRule>
    <cfRule type="cellIs" dxfId="37" priority="57" operator="equal">
      <formula>"医"</formula>
    </cfRule>
    <cfRule type="cellIs" dxfId="36" priority="58" operator="equal">
      <formula>"乐"</formula>
    </cfRule>
    <cfRule type="cellIs" dxfId="35" priority="59" operator="equal">
      <formula>"鼓"</formula>
    </cfRule>
    <cfRule type="cellIs" dxfId="34" priority="60" operator="equal">
      <formula>"相"</formula>
    </cfRule>
    <cfRule type="cellIs" dxfId="33" priority="61" operator="equal">
      <formula>"扇"</formula>
    </cfRule>
    <cfRule type="cellIs" dxfId="32" priority="62" operator="equal">
      <formula>"谋"</formula>
    </cfRule>
    <cfRule type="cellIs" dxfId="31" priority="63" operator="equal">
      <formula>"帅"</formula>
    </cfRule>
  </conditionalFormatting>
  <conditionalFormatting sqref="E18:I18">
    <cfRule type="cellIs" dxfId="30" priority="52" operator="greaterThanOrEqual">
      <formula>90</formula>
    </cfRule>
  </conditionalFormatting>
  <conditionalFormatting sqref="K18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{B51432C2-BBDD-4CCA-B8C9-677076588C3B}</x14:id>
        </ext>
      </extLst>
    </cfRule>
  </conditionalFormatting>
  <conditionalFormatting sqref="K18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{6C79732F-B990-4BA4-AE47-142FBE795CBD}</x14:id>
        </ext>
      </extLst>
    </cfRule>
  </conditionalFormatting>
  <conditionalFormatting sqref="K18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{82493122-893A-4FDE-95BB-CB5864E840A1}</x14:id>
        </ext>
      </extLst>
    </cfRule>
  </conditionalFormatting>
  <conditionalFormatting sqref="U18">
    <cfRule type="cellIs" dxfId="29" priority="40" operator="equal">
      <formula>"炮"</formula>
    </cfRule>
    <cfRule type="cellIs" dxfId="28" priority="41" operator="equal">
      <formula>"弩"</formula>
    </cfRule>
    <cfRule type="cellIs" dxfId="27" priority="42" operator="equal">
      <formula>"弓"</formula>
    </cfRule>
    <cfRule type="cellIs" dxfId="26" priority="43" operator="equal">
      <formula>"医"</formula>
    </cfRule>
    <cfRule type="cellIs" dxfId="25" priority="44" operator="equal">
      <formula>"乐"</formula>
    </cfRule>
    <cfRule type="cellIs" dxfId="24" priority="45" operator="equal">
      <formula>"鼓"</formula>
    </cfRule>
    <cfRule type="cellIs" dxfId="23" priority="46" operator="equal">
      <formula>"相"</formula>
    </cfRule>
    <cfRule type="cellIs" dxfId="22" priority="47" operator="equal">
      <formula>"扇"</formula>
    </cfRule>
    <cfRule type="cellIs" dxfId="21" priority="48" operator="equal">
      <formula>"谋"</formula>
    </cfRule>
    <cfRule type="cellIs" dxfId="20" priority="49" operator="equal">
      <formula>"帅"</formula>
    </cfRule>
  </conditionalFormatting>
  <conditionalFormatting sqref="K49:K51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{57484950-6EB8-4F43-81A8-883DCD06E927}</x14:id>
        </ext>
      </extLst>
    </cfRule>
  </conditionalFormatting>
  <conditionalFormatting sqref="K8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{629D1576-7631-4824-9FFF-55DCC34C30AC}</x14:id>
        </ext>
      </extLst>
    </cfRule>
  </conditionalFormatting>
  <conditionalFormatting sqref="K87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{EAAC2503-2A06-4F41-B688-1E4819327D23}</x14:id>
        </ext>
      </extLst>
    </cfRule>
  </conditionalFormatting>
  <conditionalFormatting sqref="U87">
    <cfRule type="cellIs" dxfId="19" priority="14" operator="equal">
      <formula>"炮"</formula>
    </cfRule>
    <cfRule type="cellIs" dxfId="18" priority="15" operator="equal">
      <formula>"弩"</formula>
    </cfRule>
    <cfRule type="cellIs" dxfId="17" priority="16" operator="equal">
      <formula>"弓"</formula>
    </cfRule>
    <cfRule type="cellIs" dxfId="16" priority="17" operator="equal">
      <formula>"医"</formula>
    </cfRule>
    <cfRule type="cellIs" dxfId="15" priority="18" operator="equal">
      <formula>"乐"</formula>
    </cfRule>
    <cfRule type="cellIs" dxfId="14" priority="19" operator="equal">
      <formula>"鼓"</formula>
    </cfRule>
    <cfRule type="cellIs" dxfId="13" priority="20" operator="equal">
      <formula>"相"</formula>
    </cfRule>
    <cfRule type="cellIs" dxfId="12" priority="21" operator="equal">
      <formula>"扇"</formula>
    </cfRule>
    <cfRule type="cellIs" dxfId="11" priority="22" operator="equal">
      <formula>"谋"</formula>
    </cfRule>
    <cfRule type="cellIs" dxfId="10" priority="23" operator="equal">
      <formula>"帅"</formula>
    </cfRule>
  </conditionalFormatting>
  <conditionalFormatting sqref="K8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{355EF9F5-82C4-437F-96D6-2768F609FB19}</x14:id>
        </ext>
      </extLst>
    </cfRule>
  </conditionalFormatting>
  <conditionalFormatting sqref="K89:K90 K93:K123 K145:K165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{C2E3C695-FCC7-49D7-9DE4-0656165C56F7}</x14:id>
        </ext>
      </extLst>
    </cfRule>
  </conditionalFormatting>
  <conditionalFormatting sqref="K124:K1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{FB870BC7-8246-433B-895E-0F8423144633}</x14:id>
        </ext>
      </extLst>
    </cfRule>
  </conditionalFormatting>
  <conditionalFormatting sqref="K124:K1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{77254CF5-8D13-42A2-B46F-5C8211061EB6}</x14:id>
        </ext>
      </extLst>
    </cfRule>
  </conditionalFormatting>
  <conditionalFormatting sqref="U124:U144">
    <cfRule type="cellIs" dxfId="9" priority="1" operator="equal">
      <formula>"炮"</formula>
    </cfRule>
    <cfRule type="cellIs" dxfId="8" priority="2" operator="equal">
      <formula>"弩"</formula>
    </cfRule>
    <cfRule type="cellIs" dxfId="7" priority="3" operator="equal">
      <formula>"弓"</formula>
    </cfRule>
    <cfRule type="cellIs" dxfId="6" priority="4" operator="equal">
      <formula>"医"</formula>
    </cfRule>
    <cfRule type="cellIs" dxfId="5" priority="5" operator="equal">
      <formula>"乐"</formula>
    </cfRule>
    <cfRule type="cellIs" dxfId="4" priority="6" operator="equal">
      <formula>"鼓"</formula>
    </cfRule>
    <cfRule type="cellIs" dxfId="3" priority="7" operator="equal">
      <formula>"相"</formula>
    </cfRule>
    <cfRule type="cellIs" dxfId="2" priority="8" operator="equal">
      <formula>"扇"</formula>
    </cfRule>
    <cfRule type="cellIs" dxfId="1" priority="9" operator="equal">
      <formula>"谋"</formula>
    </cfRule>
    <cfRule type="cellIs" dxfId="0" priority="10" operator="equal">
      <formula>"帅"</formula>
    </cfRule>
  </conditionalFormatting>
  <conditionalFormatting sqref="K124:K14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{8B430DCF-C9B8-434E-87E0-C1C0805E337F}</x14:id>
        </ext>
      </extLst>
    </cfRule>
  </conditionalFormatting>
  <conditionalFormatting sqref="K52:K86">
    <cfRule type="dataBar" priority="10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{50BFEC68-635C-45F7-84CA-432B3B6C98B2}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7258E-286A-4BBA-996A-016D402240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K340:K342 K323:K330 K332:K333 K5:K14 K181:K186 K312:K321 K299:K309 K281 K220:K225 K93:K123 K206:K209 K227:K274 K19:K51 K88:K90 K145:K176</xm:sqref>
        </x14:conditionalFormatting>
        <x14:conditionalFormatting xmlns:xm="http://schemas.microsoft.com/office/excel/2006/main">
          <x14:cfRule type="dataBar" id="{89569351-4EC6-40D7-B258-5869F2C87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K340:K342 K166:K176 K323:K330 K181:K186 K332:K333 K274 K312:K321 K299:K309 K281 K220:K225 K206:K209 K227:K272</xm:sqref>
        </x14:conditionalFormatting>
        <x14:conditionalFormatting xmlns:xm="http://schemas.microsoft.com/office/excel/2006/main">
          <x14:cfRule type="dataBar" id="{5747AD9A-30C0-4FA1-8964-61F75CF9B9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K329</xm:sqref>
        </x14:conditionalFormatting>
        <x14:conditionalFormatting xmlns:xm="http://schemas.microsoft.com/office/excel/2006/main">
          <x14:cfRule type="dataBar" id="{290C0596-F881-4667-80DD-345DFA45DF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K332</xm:sqref>
        </x14:conditionalFormatting>
        <x14:conditionalFormatting xmlns:xm="http://schemas.microsoft.com/office/excel/2006/main">
          <x14:cfRule type="dataBar" id="{51A5D7DF-89C2-4665-90DC-CA042A946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60941D5F-35EE-4787-808B-E22345309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K333</xm:sqref>
        </x14:conditionalFormatting>
        <x14:conditionalFormatting xmlns:xm="http://schemas.microsoft.com/office/excel/2006/main">
          <x14:cfRule type="dataBar" id="{7D049A95-BE4F-40CF-96E1-0BB1395EA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K340</xm:sqref>
        </x14:conditionalFormatting>
        <x14:conditionalFormatting xmlns:xm="http://schemas.microsoft.com/office/excel/2006/main">
          <x14:cfRule type="dataBar" id="{16F0B95A-40FC-44A3-BC81-E0B17B15C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K341</xm:sqref>
        </x14:conditionalFormatting>
        <x14:conditionalFormatting xmlns:xm="http://schemas.microsoft.com/office/excel/2006/main">
          <x14:cfRule type="dataBar" id="{B5B78097-DB73-45FB-A181-D68272AA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K342</xm:sqref>
        </x14:conditionalFormatting>
        <x14:conditionalFormatting xmlns:xm="http://schemas.microsoft.com/office/excel/2006/main">
          <x14:cfRule type="dataBar" id="{0D6DE7FA-908E-4433-AACD-B46895A3B1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F83EE768-6456-4DFC-A32A-DD825D983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K343</xm:sqref>
        </x14:conditionalFormatting>
        <x14:conditionalFormatting xmlns:xm="http://schemas.microsoft.com/office/excel/2006/main">
          <x14:cfRule type="dataBar" id="{143D3CBF-0919-472B-9D1D-66DFC3229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K343</xm:sqref>
        </x14:conditionalFormatting>
        <x14:conditionalFormatting xmlns:xm="http://schemas.microsoft.com/office/excel/2006/main">
          <x14:cfRule type="dataBar" id="{E4F7FACC-0A58-4AE9-A924-5263E6D9EF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K343</xm:sqref>
        </x14:conditionalFormatting>
        <x14:conditionalFormatting xmlns:xm="http://schemas.microsoft.com/office/excel/2006/main">
          <x14:cfRule type="dataBar" id="{3BB369B6-B4A0-47D5-BC41-6C2AD7D82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K344</xm:sqref>
        </x14:conditionalFormatting>
        <x14:conditionalFormatting xmlns:xm="http://schemas.microsoft.com/office/excel/2006/main">
          <x14:cfRule type="dataBar" id="{E7BBACD2-EEC3-4487-BA6A-9AEDA50E7E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K344</xm:sqref>
        </x14:conditionalFormatting>
        <x14:conditionalFormatting xmlns:xm="http://schemas.microsoft.com/office/excel/2006/main">
          <x14:cfRule type="dataBar" id="{5C49F946-3EB1-4074-B86B-8F538F638A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K344</xm:sqref>
        </x14:conditionalFormatting>
        <x14:conditionalFormatting xmlns:xm="http://schemas.microsoft.com/office/excel/2006/main">
          <x14:cfRule type="dataBar" id="{0E95A6F8-3D61-4ECB-8313-A394F8C9CA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K345</xm:sqref>
        </x14:conditionalFormatting>
        <x14:conditionalFormatting xmlns:xm="http://schemas.microsoft.com/office/excel/2006/main">
          <x14:cfRule type="dataBar" id="{1B937831-179C-40FC-9F80-A5C818D75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K345</xm:sqref>
        </x14:conditionalFormatting>
        <x14:conditionalFormatting xmlns:xm="http://schemas.microsoft.com/office/excel/2006/main">
          <x14:cfRule type="dataBar" id="{49833E3D-D536-4BEF-835B-07451AA1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K345</xm:sqref>
        </x14:conditionalFormatting>
        <x14:conditionalFormatting xmlns:xm="http://schemas.microsoft.com/office/excel/2006/main">
          <x14:cfRule type="dataBar" id="{759578B6-F4BA-4A8B-8E09-AB7FAA44A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K340:K345 K323:K330 K332:K333 K5:K14 K181:K186 K312:K321 K299:K309 K281 K220:K225 K93:K123 K206:K209 K227:K274 K19:K51 K88:K90 K145:K176</xm:sqref>
        </x14:conditionalFormatting>
        <x14:conditionalFormatting xmlns:xm="http://schemas.microsoft.com/office/excel/2006/main">
          <x14:cfRule type="dataBar" id="{A920A414-E4F9-4E2D-9513-A6931876C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K334:K339</xm:sqref>
        </x14:conditionalFormatting>
        <x14:conditionalFormatting xmlns:xm="http://schemas.microsoft.com/office/excel/2006/main">
          <x14:cfRule type="dataBar" id="{194118F1-D462-4450-9B06-F363BF9160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K334:K339</xm:sqref>
        </x14:conditionalFormatting>
        <x14:conditionalFormatting xmlns:xm="http://schemas.microsoft.com/office/excel/2006/main">
          <x14:cfRule type="dataBar" id="{0E536859-5B5C-4BD2-8D76-4F61356FE4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K334:K339</xm:sqref>
        </x14:conditionalFormatting>
        <x14:conditionalFormatting xmlns:xm="http://schemas.microsoft.com/office/excel/2006/main">
          <x14:cfRule type="dataBar" id="{4D7B914B-CD20-488B-9D82-3BFDFFD2F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K346:K348</xm:sqref>
        </x14:conditionalFormatting>
        <x14:conditionalFormatting xmlns:xm="http://schemas.microsoft.com/office/excel/2006/main">
          <x14:cfRule type="dataBar" id="{09C40B8E-EA5B-4F04-A60C-E6D451D33B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K346:K348</xm:sqref>
        </x14:conditionalFormatting>
        <x14:conditionalFormatting xmlns:xm="http://schemas.microsoft.com/office/excel/2006/main">
          <x14:cfRule type="dataBar" id="{AAE43648-3924-4CC9-8F60-05C0F2111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K346:K348</xm:sqref>
        </x14:conditionalFormatting>
        <x14:conditionalFormatting xmlns:xm="http://schemas.microsoft.com/office/excel/2006/main">
          <x14:cfRule type="dataBar" id="{7D2393E4-2AEF-41DF-B003-A8528B2B78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K322</xm:sqref>
        </x14:conditionalFormatting>
        <x14:conditionalFormatting xmlns:xm="http://schemas.microsoft.com/office/excel/2006/main">
          <x14:cfRule type="dataBar" id="{6AD154EB-1656-45E0-8778-8D6BE129A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K322</xm:sqref>
        </x14:conditionalFormatting>
        <x14:conditionalFormatting xmlns:xm="http://schemas.microsoft.com/office/excel/2006/main">
          <x14:cfRule type="dataBar" id="{89EC9433-D839-44A4-817B-624E802CA2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K322</xm:sqref>
        </x14:conditionalFormatting>
        <x14:conditionalFormatting xmlns:xm="http://schemas.microsoft.com/office/excel/2006/main">
          <x14:cfRule type="dataBar" id="{1B1E32D7-7F2F-4843-BD47-AF15B0A3EE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K177</xm:sqref>
        </x14:conditionalFormatting>
        <x14:conditionalFormatting xmlns:xm="http://schemas.microsoft.com/office/excel/2006/main">
          <x14:cfRule type="dataBar" id="{6E8BD056-C40A-4A9A-ACF6-73E041B30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K177</xm:sqref>
        </x14:conditionalFormatting>
        <x14:conditionalFormatting xmlns:xm="http://schemas.microsoft.com/office/excel/2006/main">
          <x14:cfRule type="dataBar" id="{A3F10246-BBEC-400C-B955-A0AAD0903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K177</xm:sqref>
        </x14:conditionalFormatting>
        <x14:conditionalFormatting xmlns:xm="http://schemas.microsoft.com/office/excel/2006/main">
          <x14:cfRule type="dataBar" id="{33156F16-23D3-49FB-BD69-61F17207F6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K91</xm:sqref>
        </x14:conditionalFormatting>
        <x14:conditionalFormatting xmlns:xm="http://schemas.microsoft.com/office/excel/2006/main">
          <x14:cfRule type="dataBar" id="{F4050B96-9155-465E-AB20-5B4D19299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K91</xm:sqref>
        </x14:conditionalFormatting>
        <x14:conditionalFormatting xmlns:xm="http://schemas.microsoft.com/office/excel/2006/main">
          <x14:cfRule type="dataBar" id="{FEFC999C-28A3-48A4-92D5-983E78BE47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K178</xm:sqref>
        </x14:conditionalFormatting>
        <x14:conditionalFormatting xmlns:xm="http://schemas.microsoft.com/office/excel/2006/main">
          <x14:cfRule type="dataBar" id="{B6FDB7E2-D826-4743-AA79-7DEC7D0C1B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K178</xm:sqref>
        </x14:conditionalFormatting>
        <x14:conditionalFormatting xmlns:xm="http://schemas.microsoft.com/office/excel/2006/main">
          <x14:cfRule type="dataBar" id="{EF047C26-4A03-4DE8-BB2C-21FA24017A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K178</xm:sqref>
        </x14:conditionalFormatting>
        <x14:conditionalFormatting xmlns:xm="http://schemas.microsoft.com/office/excel/2006/main">
          <x14:cfRule type="dataBar" id="{9F616835-EC05-49EF-8397-2CB880AC8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K349</xm:sqref>
        </x14:conditionalFormatting>
        <x14:conditionalFormatting xmlns:xm="http://schemas.microsoft.com/office/excel/2006/main">
          <x14:cfRule type="dataBar" id="{2AB6DF0C-9143-45B9-A5E1-B72CBF2129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K349</xm:sqref>
        </x14:conditionalFormatting>
        <x14:conditionalFormatting xmlns:xm="http://schemas.microsoft.com/office/excel/2006/main">
          <x14:cfRule type="dataBar" id="{830CCE14-E5E0-451B-9E12-36FBF6AA5A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K349</xm:sqref>
        </x14:conditionalFormatting>
        <x14:conditionalFormatting xmlns:xm="http://schemas.microsoft.com/office/excel/2006/main">
          <x14:cfRule type="dataBar" id="{B2973B7F-6E17-4B03-B3E8-C6DD4D4DA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K349</xm:sqref>
        </x14:conditionalFormatting>
        <x14:conditionalFormatting xmlns:xm="http://schemas.microsoft.com/office/excel/2006/main">
          <x14:cfRule type="dataBar" id="{35CD999C-F217-4618-83AA-89C0903F3D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K331</xm:sqref>
        </x14:conditionalFormatting>
        <x14:conditionalFormatting xmlns:xm="http://schemas.microsoft.com/office/excel/2006/main">
          <x14:cfRule type="dataBar" id="{4D822373-FECE-4254-B01F-A5B02BE18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K331</xm:sqref>
        </x14:conditionalFormatting>
        <x14:conditionalFormatting xmlns:xm="http://schemas.microsoft.com/office/excel/2006/main">
          <x14:cfRule type="dataBar" id="{FE582ED9-81E3-417C-ACF5-EB1E5D3907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K331</xm:sqref>
        </x14:conditionalFormatting>
        <x14:conditionalFormatting xmlns:xm="http://schemas.microsoft.com/office/excel/2006/main">
          <x14:cfRule type="dataBar" id="{BA0CF356-84D8-4144-AAB7-283E19F40B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K350</xm:sqref>
        </x14:conditionalFormatting>
        <x14:conditionalFormatting xmlns:xm="http://schemas.microsoft.com/office/excel/2006/main">
          <x14:cfRule type="dataBar" id="{0F0440D3-8BAB-423E-A8BB-67E659699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K350</xm:sqref>
        </x14:conditionalFormatting>
        <x14:conditionalFormatting xmlns:xm="http://schemas.microsoft.com/office/excel/2006/main">
          <x14:cfRule type="dataBar" id="{9D20DC01-F0E3-4B80-9D00-7D0B24B8C8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K350</xm:sqref>
        </x14:conditionalFormatting>
        <x14:conditionalFormatting xmlns:xm="http://schemas.microsoft.com/office/excel/2006/main">
          <x14:cfRule type="dataBar" id="{361623A9-807F-4A08-949E-20344A2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K350</xm:sqref>
        </x14:conditionalFormatting>
        <x14:conditionalFormatting xmlns:xm="http://schemas.microsoft.com/office/excel/2006/main">
          <x14:cfRule type="dataBar" id="{5C9B3ADB-15E7-4D5E-B1E9-222893C9F0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K179</xm:sqref>
        </x14:conditionalFormatting>
        <x14:conditionalFormatting xmlns:xm="http://schemas.microsoft.com/office/excel/2006/main">
          <x14:cfRule type="dataBar" id="{BA65D940-DBE4-4452-BF8D-9B9F9806A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K179</xm:sqref>
        </x14:conditionalFormatting>
        <x14:conditionalFormatting xmlns:xm="http://schemas.microsoft.com/office/excel/2006/main">
          <x14:cfRule type="dataBar" id="{46CE5ABB-1E01-4399-9EFD-0452026458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K179</xm:sqref>
        </x14:conditionalFormatting>
        <x14:conditionalFormatting xmlns:xm="http://schemas.microsoft.com/office/excel/2006/main">
          <x14:cfRule type="dataBar" id="{AF9C6A0B-AED2-4256-B0B3-DA1A125167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K179</xm:sqref>
        </x14:conditionalFormatting>
        <x14:conditionalFormatting xmlns:xm="http://schemas.microsoft.com/office/excel/2006/main">
          <x14:cfRule type="dataBar" id="{887E5351-57DA-49BF-8966-9ADECADAC9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K351</xm:sqref>
        </x14:conditionalFormatting>
        <x14:conditionalFormatting xmlns:xm="http://schemas.microsoft.com/office/excel/2006/main">
          <x14:cfRule type="dataBar" id="{E89D53E5-C268-42E9-9A48-E8B6BC6BE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K351</xm:sqref>
        </x14:conditionalFormatting>
        <x14:conditionalFormatting xmlns:xm="http://schemas.microsoft.com/office/excel/2006/main">
          <x14:cfRule type="dataBar" id="{9128611D-0012-40DE-B328-3A91210C06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K351</xm:sqref>
        </x14:conditionalFormatting>
        <x14:conditionalFormatting xmlns:xm="http://schemas.microsoft.com/office/excel/2006/main">
          <x14:cfRule type="dataBar" id="{BF118C4C-8F2C-41CD-B84D-88EA5BF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K351</xm:sqref>
        </x14:conditionalFormatting>
        <x14:conditionalFormatting xmlns:xm="http://schemas.microsoft.com/office/excel/2006/main">
          <x14:cfRule type="dataBar" id="{E4302F84-A67D-4362-9EEC-AA58C2B343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K180</xm:sqref>
        </x14:conditionalFormatting>
        <x14:conditionalFormatting xmlns:xm="http://schemas.microsoft.com/office/excel/2006/main">
          <x14:cfRule type="dataBar" id="{6A023DB8-62F6-4111-867B-773E76297D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K180</xm:sqref>
        </x14:conditionalFormatting>
        <x14:conditionalFormatting xmlns:xm="http://schemas.microsoft.com/office/excel/2006/main">
          <x14:cfRule type="dataBar" id="{EDB7077A-02F6-4190-86E4-6B9091E594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K180</xm:sqref>
        </x14:conditionalFormatting>
        <x14:conditionalFormatting xmlns:xm="http://schemas.microsoft.com/office/excel/2006/main">
          <x14:cfRule type="dataBar" id="{E06D961F-60D3-4F30-AC7D-752D9022D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K92</xm:sqref>
        </x14:conditionalFormatting>
        <x14:conditionalFormatting xmlns:xm="http://schemas.microsoft.com/office/excel/2006/main">
          <x14:cfRule type="dataBar" id="{82C00C9E-16C4-430A-894C-A1AA6D525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K92</xm:sqref>
        </x14:conditionalFormatting>
        <x14:conditionalFormatting xmlns:xm="http://schemas.microsoft.com/office/excel/2006/main">
          <x14:cfRule type="dataBar" id="{883DFD82-3586-4502-8A4F-7000AFB5D8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K310</xm:sqref>
        </x14:conditionalFormatting>
        <x14:conditionalFormatting xmlns:xm="http://schemas.microsoft.com/office/excel/2006/main">
          <x14:cfRule type="dataBar" id="{2212BCF5-CE69-4ECB-9445-985A680346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K310</xm:sqref>
        </x14:conditionalFormatting>
        <x14:conditionalFormatting xmlns:xm="http://schemas.microsoft.com/office/excel/2006/main">
          <x14:cfRule type="dataBar" id="{6FF56287-8D75-42E0-BD0A-2CA791593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K310</xm:sqref>
        </x14:conditionalFormatting>
        <x14:conditionalFormatting xmlns:xm="http://schemas.microsoft.com/office/excel/2006/main">
          <x14:cfRule type="dataBar" id="{D6E1F70A-A3FB-4240-836E-DFA3E00927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K311</xm:sqref>
        </x14:conditionalFormatting>
        <x14:conditionalFormatting xmlns:xm="http://schemas.microsoft.com/office/excel/2006/main">
          <x14:cfRule type="dataBar" id="{9A9984AD-E731-4FDE-865D-48CD8231A3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K311</xm:sqref>
        </x14:conditionalFormatting>
        <x14:conditionalFormatting xmlns:xm="http://schemas.microsoft.com/office/excel/2006/main">
          <x14:cfRule type="dataBar" id="{AC2A7EB9-9084-4F68-B782-BBC33DEF3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K311</xm:sqref>
        </x14:conditionalFormatting>
        <x14:conditionalFormatting xmlns:xm="http://schemas.microsoft.com/office/excel/2006/main">
          <x14:cfRule type="dataBar" id="{4FCBB145-53F6-4E02-B751-BAB1DB351C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K282:K298</xm:sqref>
        </x14:conditionalFormatting>
        <x14:conditionalFormatting xmlns:xm="http://schemas.microsoft.com/office/excel/2006/main">
          <x14:cfRule type="dataBar" id="{11CF272B-2B97-455B-B2C7-D667DE4E63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K282:K298</xm:sqref>
        </x14:conditionalFormatting>
        <x14:conditionalFormatting xmlns:xm="http://schemas.microsoft.com/office/excel/2006/main">
          <x14:cfRule type="dataBar" id="{BC342A2E-F5FA-468A-A8FE-BC32F0618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K282:K298</xm:sqref>
        </x14:conditionalFormatting>
        <x14:conditionalFormatting xmlns:xm="http://schemas.microsoft.com/office/excel/2006/main">
          <x14:cfRule type="dataBar" id="{31DC3250-73CB-45F0-B039-3C31049F9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K275:K280</xm:sqref>
        </x14:conditionalFormatting>
        <x14:conditionalFormatting xmlns:xm="http://schemas.microsoft.com/office/excel/2006/main">
          <x14:cfRule type="dataBar" id="{9BB60D97-4F66-4F89-9829-F16B922F7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K275:K280</xm:sqref>
        </x14:conditionalFormatting>
        <x14:conditionalFormatting xmlns:xm="http://schemas.microsoft.com/office/excel/2006/main">
          <x14:cfRule type="dataBar" id="{ABC47BCC-0049-4566-A391-46B5166A9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K275:K280</xm:sqref>
        </x14:conditionalFormatting>
        <x14:conditionalFormatting xmlns:xm="http://schemas.microsoft.com/office/excel/2006/main">
          <x14:cfRule type="dataBar" id="{130071E8-01D3-4EC0-920A-2D450F8EB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K210:K219</xm:sqref>
        </x14:conditionalFormatting>
        <x14:conditionalFormatting xmlns:xm="http://schemas.microsoft.com/office/excel/2006/main">
          <x14:cfRule type="dataBar" id="{485BB2CC-86FD-431F-BCF4-3FC398939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K226:K241</xm:sqref>
        </x14:conditionalFormatting>
        <x14:conditionalFormatting xmlns:xm="http://schemas.microsoft.com/office/excel/2006/main">
          <x14:cfRule type="dataBar" id="{F1E64D93-438F-4E80-945F-B9A84CC91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K187:K205</xm:sqref>
        </x14:conditionalFormatting>
        <x14:conditionalFormatting xmlns:xm="http://schemas.microsoft.com/office/excel/2006/main">
          <x14:cfRule type="dataBar" id="{90761903-E6A3-4A4D-9272-709D8B455B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K187:K205</xm:sqref>
        </x14:conditionalFormatting>
        <x14:conditionalFormatting xmlns:xm="http://schemas.microsoft.com/office/excel/2006/main">
          <x14:cfRule type="dataBar" id="{25EB0B04-9272-48EA-8800-13F8911FA6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K187:K205</xm:sqref>
        </x14:conditionalFormatting>
        <x14:conditionalFormatting xmlns:xm="http://schemas.microsoft.com/office/excel/2006/main">
          <x14:cfRule type="dataBar" id="{4379AC9E-D224-4D2B-8C3F-1E8887EB4F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K15:K17</xm:sqref>
        </x14:conditionalFormatting>
        <x14:conditionalFormatting xmlns:xm="http://schemas.microsoft.com/office/excel/2006/main">
          <x14:cfRule type="dataBar" id="{4E0FD3B9-1818-4D53-9A88-41B90945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K15:K17</xm:sqref>
        </x14:conditionalFormatting>
        <x14:conditionalFormatting xmlns:xm="http://schemas.microsoft.com/office/excel/2006/main">
          <x14:cfRule type="dataBar" id="{2B52DEB6-7F2C-4D94-99E5-FF822D825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K15:K17</xm:sqref>
        </x14:conditionalFormatting>
        <x14:conditionalFormatting xmlns:xm="http://schemas.microsoft.com/office/excel/2006/main">
          <x14:cfRule type="dataBar" id="{B51432C2-BBDD-4CCA-B8C9-677076588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6C79732F-B990-4BA4-AE47-142FBE795C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82493122-893A-4FDE-95BB-CB5864E840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57484950-6EB8-4F43-81A8-883DCD06E9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K49:K51</xm:sqref>
        </x14:conditionalFormatting>
        <x14:conditionalFormatting xmlns:xm="http://schemas.microsoft.com/office/excel/2006/main">
          <x14:cfRule type="dataBar" id="{629D1576-7631-4824-9FFF-55DCC34C3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K87</xm:sqref>
        </x14:conditionalFormatting>
        <x14:conditionalFormatting xmlns:xm="http://schemas.microsoft.com/office/excel/2006/main">
          <x14:cfRule type="dataBar" id="{EAAC2503-2A06-4F41-B688-1E4819327D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K87</xm:sqref>
        </x14:conditionalFormatting>
        <x14:conditionalFormatting xmlns:xm="http://schemas.microsoft.com/office/excel/2006/main">
          <x14:cfRule type="dataBar" id="{355EF9F5-82C4-437F-96D6-2768F609FB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K87</xm:sqref>
        </x14:conditionalFormatting>
        <x14:conditionalFormatting xmlns:xm="http://schemas.microsoft.com/office/excel/2006/main">
          <x14:cfRule type="dataBar" id="{C2E3C695-FCC7-49D7-9DE4-0656165C56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K89:K90 K93:K123 K145:K165</xm:sqref>
        </x14:conditionalFormatting>
        <x14:conditionalFormatting xmlns:xm="http://schemas.microsoft.com/office/excel/2006/main">
          <x14:cfRule type="dataBar" id="{FB870BC7-8246-433B-895E-0F84231446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K124:K144</xm:sqref>
        </x14:conditionalFormatting>
        <x14:conditionalFormatting xmlns:xm="http://schemas.microsoft.com/office/excel/2006/main">
          <x14:cfRule type="dataBar" id="{77254CF5-8D13-42A2-B46F-5C8211061E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K124:K144</xm:sqref>
        </x14:conditionalFormatting>
        <x14:conditionalFormatting xmlns:xm="http://schemas.microsoft.com/office/excel/2006/main">
          <x14:cfRule type="dataBar" id="{8B430DCF-C9B8-434E-87E0-C1C0805E3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K124:K144</xm:sqref>
        </x14:conditionalFormatting>
        <x14:conditionalFormatting xmlns:xm="http://schemas.microsoft.com/office/excel/2006/main">
          <x14:cfRule type="dataBar" id="{50BFEC68-635C-45F7-84CA-432B3B6C9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K52:K86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2025-12-25T13:20:39Z</dcterms:modified>
</cp:coreProperties>
</file>