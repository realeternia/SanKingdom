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Q138" i="1" s="1"/>
  <c r="J137" i="1"/>
  <c r="Q137" i="1" s="1"/>
  <c r="J136" i="1"/>
  <c r="Q136" i="1" s="1"/>
  <c r="J351" i="1"/>
  <c r="Q351" i="1" s="1"/>
  <c r="J135" i="1"/>
  <c r="Q135" i="1" s="1"/>
  <c r="J349" i="1"/>
  <c r="Q349" i="1" s="1"/>
  <c r="J134" i="1"/>
  <c r="Q134" i="1" s="1"/>
  <c r="J133" i="1"/>
  <c r="Q133" i="1" s="1"/>
  <c r="J132" i="1"/>
  <c r="Q132" i="1" s="1"/>
  <c r="J131" i="1"/>
  <c r="Q131" i="1" s="1"/>
  <c r="J130" i="1"/>
  <c r="Q130" i="1" s="1"/>
  <c r="J129" i="1"/>
  <c r="Q129" i="1" s="1"/>
  <c r="J128" i="1"/>
  <c r="Q128" i="1" s="1"/>
  <c r="J127" i="1"/>
  <c r="Q127" i="1" s="1"/>
  <c r="J126" i="1"/>
  <c r="Q126" i="1" s="1"/>
  <c r="J125" i="1"/>
  <c r="Q125" i="1" s="1"/>
  <c r="J124" i="1"/>
  <c r="Q124" i="1" s="1"/>
  <c r="J123" i="1"/>
  <c r="Q123" i="1" s="1"/>
  <c r="J122" i="1"/>
  <c r="Q122" i="1" s="1"/>
  <c r="J121" i="1"/>
  <c r="Q121" i="1" s="1"/>
  <c r="J120" i="1"/>
  <c r="Q120" i="1" s="1"/>
  <c r="J86" i="1"/>
  <c r="Q86" i="1" s="1"/>
  <c r="J85" i="1"/>
  <c r="Q85" i="1" s="1"/>
  <c r="J84" i="1"/>
  <c r="Q84" i="1" s="1"/>
  <c r="J83" i="1"/>
  <c r="Q83" i="1" s="1"/>
  <c r="J82" i="1"/>
  <c r="Q82" i="1" s="1"/>
  <c r="J81" i="1"/>
  <c r="Q81" i="1" s="1"/>
  <c r="J80" i="1"/>
  <c r="Q80" i="1" s="1"/>
  <c r="J79" i="1"/>
  <c r="Q79" i="1" s="1"/>
  <c r="J78" i="1"/>
  <c r="Q78" i="1" s="1"/>
  <c r="J77" i="1"/>
  <c r="Q77" i="1" s="1"/>
  <c r="J76" i="1"/>
  <c r="Q76" i="1" s="1"/>
  <c r="J75" i="1"/>
  <c r="Q75" i="1" s="1"/>
  <c r="J74" i="1"/>
  <c r="Q74" i="1" s="1"/>
  <c r="J73" i="1"/>
  <c r="Q73" i="1" s="1"/>
  <c r="J72" i="1"/>
  <c r="Q72" i="1" s="1"/>
  <c r="J71" i="1"/>
  <c r="Q71" i="1" s="1"/>
  <c r="J70" i="1"/>
  <c r="Q70" i="1" s="1"/>
  <c r="J69" i="1"/>
  <c r="Q69" i="1" s="1"/>
  <c r="J68" i="1"/>
  <c r="Q68" i="1" s="1"/>
  <c r="J67" i="1"/>
  <c r="Q67" i="1" s="1"/>
  <c r="J66" i="1"/>
  <c r="Q66" i="1" s="1"/>
  <c r="J65" i="1"/>
  <c r="Q65" i="1" s="1"/>
  <c r="J64" i="1"/>
  <c r="Q64" i="1" s="1"/>
  <c r="J63" i="1"/>
  <c r="Q63" i="1" s="1"/>
  <c r="J62" i="1"/>
  <c r="Q62" i="1" s="1"/>
  <c r="J61" i="1"/>
  <c r="Q61" i="1" s="1"/>
  <c r="J60" i="1"/>
  <c r="Q60" i="1" s="1"/>
  <c r="J59" i="1"/>
  <c r="Q59" i="1" s="1"/>
  <c r="J58" i="1"/>
  <c r="Q58" i="1" s="1"/>
  <c r="J57" i="1"/>
  <c r="Q57" i="1" s="1"/>
  <c r="J56" i="1"/>
  <c r="Q56" i="1" s="1"/>
  <c r="J55" i="1"/>
  <c r="Q55" i="1" s="1"/>
  <c r="J54" i="1"/>
  <c r="Q54" i="1" s="1"/>
  <c r="J53" i="1"/>
  <c r="Q53" i="1" s="1"/>
  <c r="J16" i="1"/>
  <c r="Q16" i="1" s="1"/>
  <c r="J17" i="1"/>
  <c r="Q17" i="1" s="1"/>
  <c r="J15" i="1"/>
  <c r="Q15" i="1" s="1"/>
  <c r="J14" i="1"/>
  <c r="Q14" i="1" s="1"/>
  <c r="J266" i="1"/>
  <c r="Q266" i="1" s="1"/>
  <c r="J265" i="1"/>
  <c r="Q265" i="1" s="1"/>
  <c r="J264" i="1"/>
  <c r="Q264" i="1" s="1"/>
  <c r="J263" i="1"/>
  <c r="Q263" i="1" s="1"/>
  <c r="J262" i="1"/>
  <c r="Q262" i="1" s="1"/>
  <c r="J261" i="1"/>
  <c r="Q261" i="1" s="1"/>
  <c r="J260" i="1"/>
  <c r="Q260" i="1" s="1"/>
  <c r="J259" i="1"/>
  <c r="Q259" i="1" s="1"/>
  <c r="J258" i="1"/>
  <c r="Q258" i="1" s="1"/>
  <c r="J257" i="1"/>
  <c r="Q257" i="1" s="1"/>
  <c r="J256" i="1"/>
  <c r="Q256" i="1" s="1"/>
  <c r="J255" i="1"/>
  <c r="Q255" i="1" s="1"/>
  <c r="J254" i="1"/>
  <c r="Q254" i="1" s="1"/>
  <c r="J253" i="1"/>
  <c r="Q253" i="1" s="1"/>
  <c r="J252" i="1"/>
  <c r="Q252" i="1" s="1"/>
  <c r="J251" i="1"/>
  <c r="Q251" i="1" s="1"/>
  <c r="J204" i="1"/>
  <c r="Q204" i="1" s="1"/>
  <c r="J203" i="1"/>
  <c r="Q203" i="1" s="1"/>
  <c r="J202" i="1"/>
  <c r="Q202" i="1" s="1"/>
  <c r="J201" i="1"/>
  <c r="Q201" i="1" s="1"/>
  <c r="J200" i="1"/>
  <c r="Q200" i="1" s="1"/>
  <c r="J199" i="1"/>
  <c r="Q199" i="1" s="1"/>
  <c r="J198" i="1"/>
  <c r="Q198" i="1" s="1"/>
  <c r="J197" i="1"/>
  <c r="Q197" i="1" s="1"/>
  <c r="J196" i="1"/>
  <c r="Q196" i="1" s="1"/>
  <c r="J195" i="1"/>
  <c r="Q195" i="1" s="1"/>
  <c r="J194" i="1"/>
  <c r="Q194" i="1" s="1"/>
  <c r="J193" i="1"/>
  <c r="Q193" i="1" s="1"/>
  <c r="J192" i="1"/>
  <c r="Q192" i="1" s="1"/>
  <c r="J191" i="1"/>
  <c r="Q191" i="1" s="1"/>
  <c r="J190" i="1"/>
  <c r="Q190" i="1" s="1"/>
  <c r="J189" i="1"/>
  <c r="Q189" i="1" s="1"/>
  <c r="J188" i="1"/>
  <c r="Q188" i="1" s="1"/>
  <c r="J187" i="1"/>
  <c r="Q187" i="1" s="1"/>
  <c r="J186" i="1"/>
  <c r="Q186" i="1" s="1"/>
  <c r="J173" i="1"/>
  <c r="Q173" i="1" s="1"/>
  <c r="J172" i="1"/>
  <c r="Q172" i="1" s="1"/>
  <c r="J171" i="1"/>
  <c r="Q171" i="1" s="1"/>
  <c r="J170" i="1"/>
  <c r="Q170" i="1" s="1"/>
  <c r="J169" i="1"/>
  <c r="Q169" i="1" s="1"/>
  <c r="J168" i="1"/>
  <c r="Q168" i="1" s="1"/>
  <c r="J167" i="1"/>
  <c r="Q167" i="1" s="1"/>
  <c r="J166" i="1"/>
  <c r="Q166" i="1" s="1"/>
  <c r="J165" i="1"/>
  <c r="Q165" i="1" s="1"/>
  <c r="J164" i="1"/>
  <c r="Q164" i="1" s="1"/>
  <c r="J163" i="1"/>
  <c r="Q163" i="1" s="1"/>
  <c r="J162" i="1"/>
  <c r="Q162" i="1" s="1"/>
  <c r="J161" i="1"/>
  <c r="Q161" i="1" s="1"/>
  <c r="J160" i="1"/>
  <c r="Q160" i="1" s="1"/>
  <c r="J159" i="1"/>
  <c r="Q159" i="1" s="1"/>
  <c r="J158" i="1"/>
  <c r="Q158" i="1" s="1"/>
  <c r="J157" i="1"/>
  <c r="Q157" i="1" s="1"/>
  <c r="J156" i="1"/>
  <c r="Q156" i="1" s="1"/>
  <c r="J155" i="1"/>
  <c r="Q155" i="1" s="1"/>
  <c r="J154" i="1"/>
  <c r="Q154" i="1" s="1"/>
  <c r="J153" i="1"/>
  <c r="Q153" i="1" s="1"/>
  <c r="J152" i="1"/>
  <c r="Q152" i="1" s="1"/>
  <c r="J151" i="1"/>
  <c r="Q151" i="1" s="1"/>
  <c r="J150" i="1"/>
  <c r="Q150" i="1" s="1"/>
  <c r="J149" i="1"/>
  <c r="Q149" i="1" s="1"/>
  <c r="J238" i="1"/>
  <c r="Q238" i="1" s="1"/>
  <c r="J237" i="1"/>
  <c r="Q237" i="1" s="1"/>
  <c r="J236" i="1"/>
  <c r="Q236" i="1" s="1"/>
  <c r="J235" i="1"/>
  <c r="Q235" i="1" s="1"/>
  <c r="J234" i="1"/>
  <c r="Q234" i="1" s="1"/>
  <c r="J233" i="1"/>
  <c r="Q233" i="1" s="1"/>
  <c r="J232" i="1"/>
  <c r="Q232" i="1" s="1"/>
  <c r="J231" i="1"/>
  <c r="Q231" i="1" s="1"/>
  <c r="J230" i="1"/>
  <c r="Q230" i="1" s="1"/>
  <c r="J229" i="1"/>
  <c r="Q229" i="1" s="1"/>
  <c r="J228" i="1"/>
  <c r="Q228" i="1" s="1"/>
  <c r="J227" i="1"/>
  <c r="Q227" i="1" s="1"/>
  <c r="J226" i="1"/>
  <c r="Q226" i="1" s="1"/>
  <c r="J225" i="1"/>
  <c r="Q225" i="1" s="1"/>
  <c r="J224" i="1"/>
  <c r="Q224" i="1" s="1"/>
  <c r="J223" i="1"/>
  <c r="Q223" i="1" s="1"/>
  <c r="J218" i="1"/>
  <c r="Q218" i="1" s="1"/>
  <c r="J217" i="1"/>
  <c r="Q217" i="1" s="1"/>
  <c r="J216" i="1"/>
  <c r="Q216" i="1" s="1"/>
  <c r="J215" i="1"/>
  <c r="Q215" i="1" s="1"/>
  <c r="J214" i="1"/>
  <c r="Q214" i="1" s="1"/>
  <c r="J213" i="1"/>
  <c r="Q213" i="1" s="1"/>
  <c r="J212" i="1"/>
  <c r="Q212" i="1" s="1"/>
  <c r="J211" i="1"/>
  <c r="Q211" i="1" s="1"/>
  <c r="J210" i="1"/>
  <c r="Q210" i="1" s="1"/>
  <c r="J209" i="1"/>
  <c r="Q209" i="1" s="1"/>
  <c r="J292" i="1"/>
  <c r="J273" i="1"/>
  <c r="Q273" i="1" s="1"/>
  <c r="J272" i="1"/>
  <c r="Q272" i="1" s="1"/>
  <c r="J271" i="1"/>
  <c r="Q271" i="1" s="1"/>
  <c r="J270" i="1"/>
  <c r="Q270" i="1" s="1"/>
  <c r="J269" i="1"/>
  <c r="Q269" i="1" s="1"/>
  <c r="J268" i="1"/>
  <c r="Q268" i="1" s="1"/>
  <c r="J291" i="1"/>
  <c r="Q291" i="1" s="1"/>
  <c r="J290" i="1"/>
  <c r="Q290" i="1" s="1"/>
  <c r="J289" i="1"/>
  <c r="Q289" i="1" s="1"/>
  <c r="J288" i="1"/>
  <c r="Q288" i="1" s="1"/>
  <c r="J287" i="1"/>
  <c r="Q287" i="1" s="1"/>
  <c r="J286" i="1"/>
  <c r="Q286" i="1" s="1"/>
  <c r="J285" i="1"/>
  <c r="Q285" i="1" s="1"/>
  <c r="J284" i="1"/>
  <c r="Q284" i="1" s="1"/>
  <c r="J283" i="1"/>
  <c r="Q283" i="1" s="1"/>
  <c r="J282" i="1"/>
  <c r="Q282" i="1" s="1"/>
  <c r="J281" i="1"/>
  <c r="Q281" i="1" s="1"/>
  <c r="J280" i="1"/>
  <c r="Q280" i="1" s="1"/>
  <c r="J279" i="1"/>
  <c r="Q279" i="1" s="1"/>
  <c r="J278" i="1"/>
  <c r="Q278" i="1" s="1"/>
  <c r="J277" i="1"/>
  <c r="Q277" i="1" s="1"/>
  <c r="J276" i="1"/>
  <c r="Q276" i="1" s="1"/>
  <c r="J275" i="1"/>
  <c r="Q275" i="1" s="1"/>
  <c r="AA311" i="1" l="1"/>
  <c r="J304" i="1"/>
  <c r="Q304" i="1" s="1"/>
  <c r="AA310" i="1"/>
  <c r="J303" i="1"/>
  <c r="Q303" i="1" s="1"/>
  <c r="AA307" i="1"/>
  <c r="AA306" i="1"/>
  <c r="AA305" i="1"/>
  <c r="AA304" i="1"/>
  <c r="AA303" i="1"/>
  <c r="AA302" i="1"/>
  <c r="AA301" i="1"/>
  <c r="AA300" i="1"/>
  <c r="J300" i="1"/>
  <c r="Q300" i="1" s="1"/>
  <c r="J299" i="1"/>
  <c r="Q299" i="1" s="1"/>
  <c r="J298" i="1"/>
  <c r="Q298" i="1" s="1"/>
  <c r="J297" i="1"/>
  <c r="Q297" i="1" s="1"/>
  <c r="J296" i="1"/>
  <c r="Q296" i="1" s="1"/>
  <c r="J295" i="1"/>
  <c r="Q295" i="1" s="1"/>
  <c r="J294" i="1"/>
  <c r="Q294" i="1" s="1"/>
  <c r="J293" i="1"/>
  <c r="Q293" i="1" s="1"/>
  <c r="J302" i="1" l="1"/>
  <c r="Q302" i="1" s="1"/>
  <c r="AA13" i="1"/>
  <c r="AA12" i="1"/>
  <c r="AA11" i="1"/>
  <c r="J267" i="1"/>
  <c r="J239" i="1"/>
  <c r="J220" i="1"/>
  <c r="AA19" i="1" l="1"/>
  <c r="AA20" i="1"/>
  <c r="AA6" i="1"/>
  <c r="AA7" i="1"/>
  <c r="AA8" i="1"/>
  <c r="AA9" i="1"/>
  <c r="AA10" i="1"/>
  <c r="AA14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206" i="1"/>
  <c r="AA207" i="1"/>
  <c r="AA208" i="1"/>
  <c r="AA209" i="1"/>
  <c r="AA220" i="1"/>
  <c r="AA221" i="1"/>
  <c r="AA222" i="1"/>
  <c r="AA223" i="1"/>
  <c r="AA224" i="1"/>
  <c r="AA225" i="1"/>
  <c r="AA242" i="1"/>
  <c r="AA243" i="1"/>
  <c r="AA244" i="1"/>
  <c r="AA245" i="1"/>
  <c r="AA246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81" i="1"/>
  <c r="AA299" i="1"/>
  <c r="AA308" i="1"/>
  <c r="AA309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Q322" i="1" l="1"/>
  <c r="Q340" i="1"/>
  <c r="Q343" i="1"/>
  <c r="Q344" i="1"/>
  <c r="Q345" i="1"/>
  <c r="Q243" i="1"/>
  <c r="Q339" i="1"/>
  <c r="Q342" i="1"/>
  <c r="Q12" i="1"/>
  <c r="Q341" i="1"/>
  <c r="Q11" i="1"/>
  <c r="Q321" i="1"/>
  <c r="Q242" i="1"/>
  <c r="Q320" i="1"/>
  <c r="Q241" i="1"/>
  <c r="Q319" i="1"/>
  <c r="Q244" i="1"/>
  <c r="Q10" i="1"/>
  <c r="Q240" i="1"/>
  <c r="Q13" i="1"/>
  <c r="Q318" i="1"/>
  <c r="Q207" i="1"/>
  <c r="Q317" i="1"/>
  <c r="Q9" i="1"/>
  <c r="Q222" i="1"/>
  <c r="Q221" i="1"/>
  <c r="Q324" i="1" l="1"/>
  <c r="Q48" i="1"/>
  <c r="Q338" i="1" l="1"/>
  <c r="Q47" i="1" l="1"/>
  <c r="Q337" i="1"/>
  <c r="Q314" i="1" l="1"/>
  <c r="Q219" i="1"/>
  <c r="Q46" i="1"/>
  <c r="Q249" i="1"/>
  <c r="Q45" i="1"/>
  <c r="Q185" i="1" l="1"/>
  <c r="Q148" i="1" l="1"/>
  <c r="Q147" i="1"/>
  <c r="Q146" i="1"/>
  <c r="Q145" i="1"/>
  <c r="Q144" i="1"/>
  <c r="Q143" i="1"/>
  <c r="Q336" i="1"/>
  <c r="Q335" i="1"/>
  <c r="Q334" i="1"/>
  <c r="Q184" i="1"/>
  <c r="Q183" i="1"/>
  <c r="Q44" i="1"/>
  <c r="Q52" i="1"/>
  <c r="Q51" i="1"/>
  <c r="Q50" i="1"/>
  <c r="Q329" i="1"/>
  <c r="Q313" i="1"/>
  <c r="Q312" i="1"/>
  <c r="Q205" i="1" l="1"/>
  <c r="Q274" i="1"/>
  <c r="Q182" i="1"/>
  <c r="Q110" i="1" l="1"/>
  <c r="Q119" i="1"/>
  <c r="Q333" i="1"/>
  <c r="Q181" i="1"/>
  <c r="Q348" i="1"/>
  <c r="Q43" i="1"/>
  <c r="Q118" i="1"/>
  <c r="Q117" i="1"/>
  <c r="Q180" i="1"/>
  <c r="Q116" i="1"/>
  <c r="Q347" i="1"/>
  <c r="Q248" i="1"/>
  <c r="Q247" i="1"/>
  <c r="Q311" i="1"/>
  <c r="Q350" i="1"/>
  <c r="Q115" i="1"/>
  <c r="Q346" i="1"/>
  <c r="Q114" i="1"/>
  <c r="Q309" i="1"/>
  <c r="Q331" i="1"/>
  <c r="Q176" i="1" l="1"/>
  <c r="Q141" i="1"/>
  <c r="Q142" i="1"/>
  <c r="Q177" i="1"/>
  <c r="Q99" i="1"/>
  <c r="Q315" i="1"/>
  <c r="Q292" i="1"/>
  <c r="Q330" i="1"/>
  <c r="Q89" i="1"/>
  <c r="Q88" i="1"/>
  <c r="Q90" i="1"/>
  <c r="Q91" i="1"/>
  <c r="Q92" i="1"/>
  <c r="Q93" i="1"/>
  <c r="Q179" i="1"/>
  <c r="Q246" i="1"/>
  <c r="Q94" i="1"/>
  <c r="Q323" i="1"/>
  <c r="Q95" i="1"/>
  <c r="Q96" i="1"/>
  <c r="Q97" i="1"/>
  <c r="Q98" i="1"/>
  <c r="Q100" i="1"/>
  <c r="Q245" i="1"/>
  <c r="Q101" i="1"/>
  <c r="Q102" i="1"/>
  <c r="Q307" i="1"/>
  <c r="Q308" i="1"/>
  <c r="Q103" i="1"/>
  <c r="Q104" i="1"/>
  <c r="Q105" i="1"/>
  <c r="Q106" i="1"/>
  <c r="Q42" i="1"/>
  <c r="Q107" i="1"/>
  <c r="Q332" i="1"/>
  <c r="Q108" i="1"/>
  <c r="Q109" i="1"/>
  <c r="Q111" i="1"/>
  <c r="Q112" i="1"/>
  <c r="Q113" i="1"/>
  <c r="Q326" i="1" l="1"/>
  <c r="Q33" i="1"/>
  <c r="Q327" i="1"/>
  <c r="Q34" i="1"/>
  <c r="Q35" i="1"/>
  <c r="Q250" i="1"/>
  <c r="Q310" i="1"/>
  <c r="Q36" i="1"/>
  <c r="Q328" i="1"/>
  <c r="Q49" i="1"/>
  <c r="Q37" i="1"/>
  <c r="Q38" i="1"/>
  <c r="Q39" i="1"/>
  <c r="Q21" i="1"/>
  <c r="Q26" i="1"/>
  <c r="Q40" i="1"/>
  <c r="Q41" i="1"/>
  <c r="Q325" i="1"/>
  <c r="Q316" i="1"/>
  <c r="Q8" i="1"/>
  <c r="Q178" i="1"/>
  <c r="Q19" i="1"/>
  <c r="Q306" i="1" l="1"/>
  <c r="Q20" i="1" l="1"/>
  <c r="Q301" i="1"/>
  <c r="Q6" i="1"/>
  <c r="Q175" i="1"/>
  <c r="Q27" i="1"/>
  <c r="Q23" i="1"/>
  <c r="Q140" i="1"/>
  <c r="Q25" i="1"/>
  <c r="Q28" i="1"/>
  <c r="Q208" i="1"/>
  <c r="Q206" i="1"/>
  <c r="Q7" i="1"/>
  <c r="Q29" i="1"/>
  <c r="Q22" i="1"/>
  <c r="Q24" i="1"/>
  <c r="Q30" i="1"/>
  <c r="Q32" i="1"/>
  <c r="Q31" i="1"/>
</calcChain>
</file>

<file path=xl/sharedStrings.xml><?xml version="1.0" encoding="utf-8"?>
<sst xmlns="http://schemas.openxmlformats.org/spreadsheetml/2006/main" count="2305" uniqueCount="990">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</sst>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51"/>
  <sheetViews>
    <sheetView tabSelected="1" topLeftCell="A310" workbookViewId="0">
      <selection activeCell="P344" sqref="P344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16</v>
      </c>
      <c r="C1" s="9" t="s">
        <v>986</v>
      </c>
      <c r="D1" s="9" t="s">
        <v>987</v>
      </c>
      <c r="E1" s="6" t="s">
        <v>37</v>
      </c>
      <c r="F1" s="6" t="s">
        <v>43</v>
      </c>
      <c r="G1" s="6" t="s">
        <v>41</v>
      </c>
      <c r="H1" s="6" t="s">
        <v>398</v>
      </c>
      <c r="I1" s="6" t="s">
        <v>399</v>
      </c>
      <c r="J1" s="6" t="s">
        <v>45</v>
      </c>
      <c r="K1" s="6" t="s">
        <v>13</v>
      </c>
      <c r="L1" s="6" t="s">
        <v>613</v>
      </c>
      <c r="M1" s="6" t="s">
        <v>14</v>
      </c>
      <c r="N1" s="6" t="s">
        <v>15</v>
      </c>
      <c r="O1" s="6" t="s">
        <v>169</v>
      </c>
      <c r="P1" s="6" t="s">
        <v>174</v>
      </c>
      <c r="Q1" s="6" t="s">
        <v>92</v>
      </c>
      <c r="R1" s="6" t="s">
        <v>127</v>
      </c>
      <c r="S1" s="6" t="s">
        <v>150</v>
      </c>
      <c r="T1" s="6" t="s">
        <v>61</v>
      </c>
      <c r="U1" s="6" t="s">
        <v>129</v>
      </c>
      <c r="V1" s="6" t="s">
        <v>129</v>
      </c>
      <c r="W1" s="6" t="s">
        <v>279</v>
      </c>
      <c r="X1" s="6" t="s">
        <v>179</v>
      </c>
      <c r="Y1" s="6" t="s">
        <v>65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982</v>
      </c>
      <c r="D2" s="3" t="s">
        <v>983</v>
      </c>
      <c r="E2" s="7" t="s">
        <v>38</v>
      </c>
      <c r="F2" s="7" t="s">
        <v>44</v>
      </c>
      <c r="G2" s="7" t="s">
        <v>128</v>
      </c>
      <c r="H2" s="7" t="s">
        <v>397</v>
      </c>
      <c r="I2" s="7" t="s">
        <v>400</v>
      </c>
      <c r="J2" s="7" t="s">
        <v>46</v>
      </c>
      <c r="K2" s="8" t="s">
        <v>753</v>
      </c>
      <c r="L2" s="8" t="s">
        <v>614</v>
      </c>
      <c r="M2" s="7" t="s">
        <v>249</v>
      </c>
      <c r="N2" s="7" t="s">
        <v>250</v>
      </c>
      <c r="O2" s="7" t="s">
        <v>170</v>
      </c>
      <c r="P2" s="7" t="s">
        <v>175</v>
      </c>
      <c r="Q2" s="7" t="s">
        <v>126</v>
      </c>
      <c r="R2" s="7" t="s">
        <v>178</v>
      </c>
      <c r="S2" s="7" t="s">
        <v>151</v>
      </c>
      <c r="T2" s="7" t="s">
        <v>62</v>
      </c>
      <c r="U2" s="7" t="s">
        <v>281</v>
      </c>
      <c r="V2" s="7" t="s">
        <v>276</v>
      </c>
      <c r="W2" s="7" t="s">
        <v>278</v>
      </c>
      <c r="X2" s="7" t="s">
        <v>195</v>
      </c>
      <c r="Y2" s="7" t="s">
        <v>66</v>
      </c>
      <c r="Z2" s="4" t="s">
        <v>5</v>
      </c>
    </row>
    <row r="3" spans="1:27" x14ac:dyDescent="0.2">
      <c r="A3" s="3" t="s">
        <v>149</v>
      </c>
      <c r="B3" s="3" t="s">
        <v>9</v>
      </c>
      <c r="C3" s="3" t="s">
        <v>984</v>
      </c>
      <c r="D3" s="3" t="s">
        <v>984</v>
      </c>
      <c r="E3" s="7" t="s">
        <v>39</v>
      </c>
      <c r="F3" s="7" t="s">
        <v>42</v>
      </c>
      <c r="G3" s="7" t="s">
        <v>42</v>
      </c>
      <c r="H3" s="7" t="s">
        <v>12</v>
      </c>
      <c r="I3" s="7" t="s">
        <v>12</v>
      </c>
      <c r="J3" s="7" t="s">
        <v>47</v>
      </c>
      <c r="K3" s="7" t="s">
        <v>7</v>
      </c>
      <c r="L3" s="7" t="s">
        <v>615</v>
      </c>
      <c r="M3" s="7" t="s">
        <v>7</v>
      </c>
      <c r="N3" s="7" t="s">
        <v>7</v>
      </c>
      <c r="O3" s="7" t="s">
        <v>171</v>
      </c>
      <c r="P3" s="7" t="s">
        <v>176</v>
      </c>
      <c r="Q3" s="7" t="s">
        <v>59</v>
      </c>
      <c r="R3" s="7" t="s">
        <v>12</v>
      </c>
      <c r="S3" s="7" t="s">
        <v>152</v>
      </c>
      <c r="T3" s="7" t="s">
        <v>63</v>
      </c>
      <c r="U3" s="7" t="s">
        <v>280</v>
      </c>
      <c r="V3" s="7" t="s">
        <v>277</v>
      </c>
      <c r="W3" s="7" t="s">
        <v>277</v>
      </c>
      <c r="X3" s="7" t="s">
        <v>180</v>
      </c>
      <c r="Y3" s="7" t="s">
        <v>63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985</v>
      </c>
      <c r="D4" s="3" t="s">
        <v>985</v>
      </c>
      <c r="E4" s="7" t="s">
        <v>40</v>
      </c>
      <c r="F4" s="7" t="s">
        <v>40</v>
      </c>
      <c r="G4" s="7" t="s">
        <v>40</v>
      </c>
      <c r="H4" s="7" t="s">
        <v>10</v>
      </c>
      <c r="I4" s="7" t="s">
        <v>10</v>
      </c>
      <c r="J4" s="7" t="s">
        <v>48</v>
      </c>
      <c r="K4" s="7" t="s">
        <v>6</v>
      </c>
      <c r="L4" s="7" t="s">
        <v>616</v>
      </c>
      <c r="M4" s="7" t="s">
        <v>6</v>
      </c>
      <c r="N4" s="7" t="s">
        <v>6</v>
      </c>
      <c r="O4" s="7" t="s">
        <v>172</v>
      </c>
      <c r="P4" s="7" t="s">
        <v>177</v>
      </c>
      <c r="Q4" s="7" t="s">
        <v>60</v>
      </c>
      <c r="R4" s="7" t="s">
        <v>10</v>
      </c>
      <c r="S4" s="7" t="s">
        <v>153</v>
      </c>
      <c r="T4" s="7" t="s">
        <v>64</v>
      </c>
      <c r="U4" s="7" t="s">
        <v>64</v>
      </c>
      <c r="V4" s="7" t="s">
        <v>64</v>
      </c>
      <c r="W4" s="7" t="s">
        <v>64</v>
      </c>
      <c r="X4" s="7" t="s">
        <v>181</v>
      </c>
      <c r="Y4" s="7" t="s">
        <v>67</v>
      </c>
      <c r="Z4" s="4" t="s">
        <v>11</v>
      </c>
    </row>
    <row r="5" spans="1:27" x14ac:dyDescent="0.2">
      <c r="A5" s="13">
        <v>100001</v>
      </c>
      <c r="B5" s="13" t="s">
        <v>26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703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282</v>
      </c>
      <c r="U5" s="5"/>
      <c r="V5" s="5" t="s">
        <v>372</v>
      </c>
      <c r="W5" s="5"/>
      <c r="X5" s="5" t="s">
        <v>182</v>
      </c>
      <c r="Y5" s="11" t="s">
        <v>69</v>
      </c>
      <c r="Z5" s="5" t="s">
        <v>401</v>
      </c>
      <c r="AA5" t="e">
        <f>COUNTIF([1]Sheet1!#REF!, "*"&amp; A5&amp;"*")</f>
        <v>#REF!</v>
      </c>
    </row>
    <row r="6" spans="1:27" x14ac:dyDescent="0.2">
      <c r="A6" s="5">
        <v>101001</v>
      </c>
      <c r="B6" s="5" t="s">
        <v>18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703</v>
      </c>
      <c r="M6" s="5">
        <v>10</v>
      </c>
      <c r="N6" s="5">
        <v>17</v>
      </c>
      <c r="O6" s="5"/>
      <c r="P6" s="5"/>
      <c r="Q6" s="5">
        <f t="shared" ref="Q6:Q17" si="1">MAX(25, INT(POWER(2.2,J6/45)))</f>
        <v>152</v>
      </c>
      <c r="R6" s="5">
        <v>0</v>
      </c>
      <c r="S6" s="5">
        <v>1</v>
      </c>
      <c r="T6" s="5" t="s">
        <v>286</v>
      </c>
      <c r="U6" s="5"/>
      <c r="V6" s="5" t="s">
        <v>254</v>
      </c>
      <c r="W6" s="5"/>
      <c r="X6" s="5" t="s">
        <v>184</v>
      </c>
      <c r="Y6" s="10" t="s">
        <v>69</v>
      </c>
      <c r="Z6" s="5" t="s">
        <v>407</v>
      </c>
      <c r="AA6" t="e">
        <f>COUNTIF([1]Sheet1!#REF!, "*"&amp; A6&amp;"*")</f>
        <v>#REF!</v>
      </c>
    </row>
    <row r="7" spans="1:27" x14ac:dyDescent="0.2">
      <c r="A7" s="5">
        <v>101002</v>
      </c>
      <c r="B7" s="5" t="s">
        <v>28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703</v>
      </c>
      <c r="M7" s="5">
        <v>10</v>
      </c>
      <c r="N7" s="5">
        <v>17</v>
      </c>
      <c r="O7" s="5"/>
      <c r="P7" s="5"/>
      <c r="Q7" s="5">
        <f t="shared" si="1"/>
        <v>1775</v>
      </c>
      <c r="R7" s="5">
        <v>0</v>
      </c>
      <c r="S7" s="5">
        <v>1</v>
      </c>
      <c r="T7" s="5" t="s">
        <v>284</v>
      </c>
      <c r="U7" s="5"/>
      <c r="V7" s="5" t="s">
        <v>255</v>
      </c>
      <c r="W7" s="5"/>
      <c r="X7" s="5" t="s">
        <v>184</v>
      </c>
      <c r="Y7" s="10" t="s">
        <v>334</v>
      </c>
      <c r="Z7" s="5" t="s">
        <v>410</v>
      </c>
      <c r="AA7" t="e">
        <f>COUNTIF([1]Sheet1!#REF!, "*"&amp; A7&amp;"*")</f>
        <v>#REF!</v>
      </c>
    </row>
    <row r="8" spans="1:27" x14ac:dyDescent="0.2">
      <c r="A8" s="5">
        <v>101003</v>
      </c>
      <c r="B8" s="5" t="s">
        <v>228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703</v>
      </c>
      <c r="M8" s="5">
        <v>10</v>
      </c>
      <c r="N8" s="5">
        <v>17</v>
      </c>
      <c r="O8">
        <v>30</v>
      </c>
      <c r="P8" s="5"/>
      <c r="Q8" s="5">
        <f t="shared" si="1"/>
        <v>1341</v>
      </c>
      <c r="R8" s="5">
        <v>0</v>
      </c>
      <c r="S8" s="5">
        <v>3</v>
      </c>
      <c r="T8" s="5" t="s">
        <v>289</v>
      </c>
      <c r="U8" s="5"/>
      <c r="V8" s="5" t="s">
        <v>367</v>
      </c>
      <c r="W8" s="5" t="s">
        <v>370</v>
      </c>
      <c r="X8" s="5" t="s">
        <v>186</v>
      </c>
      <c r="Y8" s="10" t="s">
        <v>167</v>
      </c>
      <c r="Z8" s="5" t="s">
        <v>411</v>
      </c>
      <c r="AA8" t="e">
        <f>COUNTIF([1]Sheet1!#REF!, "*"&amp; A8&amp;"*")</f>
        <v>#REF!</v>
      </c>
    </row>
    <row r="9" spans="1:27" x14ac:dyDescent="0.2">
      <c r="A9" s="5">
        <v>101004</v>
      </c>
      <c r="B9" s="5" t="s">
        <v>19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703</v>
      </c>
      <c r="M9" s="5">
        <v>10</v>
      </c>
      <c r="N9" s="5">
        <v>17</v>
      </c>
      <c r="O9" s="5"/>
      <c r="P9" s="5"/>
      <c r="Q9" s="5">
        <f t="shared" si="1"/>
        <v>135</v>
      </c>
      <c r="R9" s="5">
        <v>0</v>
      </c>
      <c r="S9" s="5">
        <v>1</v>
      </c>
      <c r="T9" s="5" t="s">
        <v>295</v>
      </c>
      <c r="U9" s="5"/>
      <c r="V9" s="5" t="s">
        <v>366</v>
      </c>
      <c r="W9" s="5"/>
      <c r="X9" s="5" t="s">
        <v>305</v>
      </c>
      <c r="Y9" s="10" t="s">
        <v>69</v>
      </c>
      <c r="Z9" s="5" t="s">
        <v>414</v>
      </c>
      <c r="AA9" t="e">
        <f>COUNTIF([1]Sheet1!#REF!, "*"&amp; A9&amp;"*")</f>
        <v>#REF!</v>
      </c>
    </row>
    <row r="10" spans="1:27" x14ac:dyDescent="0.2">
      <c r="A10" s="5">
        <v>101005</v>
      </c>
      <c r="B10" s="5" t="s">
        <v>225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703</v>
      </c>
      <c r="M10" s="5">
        <v>10</v>
      </c>
      <c r="N10" s="5">
        <v>17</v>
      </c>
      <c r="O10" s="5"/>
      <c r="P10" s="5"/>
      <c r="Q10" s="5">
        <f t="shared" si="1"/>
        <v>330</v>
      </c>
      <c r="R10" s="5">
        <v>0</v>
      </c>
      <c r="S10" s="5">
        <v>1</v>
      </c>
      <c r="T10" s="5" t="s">
        <v>295</v>
      </c>
      <c r="U10" s="5"/>
      <c r="V10" s="5" t="s">
        <v>322</v>
      </c>
      <c r="W10" s="5"/>
      <c r="X10" s="5" t="s">
        <v>306</v>
      </c>
      <c r="Y10" s="10" t="s">
        <v>69</v>
      </c>
      <c r="Z10" s="5" t="s">
        <v>420</v>
      </c>
      <c r="AA10" t="e">
        <f>COUNTIF([1]Sheet1!#REF!, "*"&amp; A10&amp;"*")</f>
        <v>#REF!</v>
      </c>
    </row>
    <row r="11" spans="1:27" x14ac:dyDescent="0.2">
      <c r="A11" s="5">
        <v>101006</v>
      </c>
      <c r="B11" s="5" t="s">
        <v>73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703</v>
      </c>
      <c r="M11" s="5">
        <v>10</v>
      </c>
      <c r="N11" s="5">
        <v>17</v>
      </c>
      <c r="O11">
        <v>40</v>
      </c>
      <c r="P11" s="5">
        <v>5</v>
      </c>
      <c r="Q11" s="5">
        <f t="shared" si="1"/>
        <v>476</v>
      </c>
      <c r="R11" s="5">
        <v>0</v>
      </c>
      <c r="S11" s="5">
        <v>3</v>
      </c>
      <c r="T11" s="5" t="s">
        <v>292</v>
      </c>
      <c r="U11" s="5"/>
      <c r="V11" s="5" t="s">
        <v>388</v>
      </c>
      <c r="X11" s="5" t="s">
        <v>185</v>
      </c>
      <c r="Y11" s="10" t="s">
        <v>164</v>
      </c>
      <c r="Z11" s="5" t="s">
        <v>427</v>
      </c>
      <c r="AA11" t="e">
        <f>COUNTIF([1]Sheet1!#REF!, "*"&amp; A11&amp;"*")</f>
        <v>#REF!</v>
      </c>
    </row>
    <row r="12" spans="1:27" x14ac:dyDescent="0.2">
      <c r="A12" s="5">
        <v>101007</v>
      </c>
      <c r="B12" s="5" t="s">
        <v>83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703</v>
      </c>
      <c r="M12" s="5">
        <v>10</v>
      </c>
      <c r="N12" s="5">
        <v>17</v>
      </c>
      <c r="O12">
        <v>58</v>
      </c>
      <c r="P12" s="5"/>
      <c r="Q12" s="5">
        <f t="shared" si="1"/>
        <v>568</v>
      </c>
      <c r="R12" s="5">
        <v>0</v>
      </c>
      <c r="S12" s="5">
        <v>3</v>
      </c>
      <c r="T12" s="5" t="s">
        <v>297</v>
      </c>
      <c r="U12" s="5"/>
      <c r="V12" t="s">
        <v>390</v>
      </c>
      <c r="W12" s="5"/>
      <c r="X12" s="5" t="s">
        <v>192</v>
      </c>
      <c r="Y12" s="10" t="s">
        <v>331</v>
      </c>
      <c r="Z12" s="5" t="s">
        <v>429</v>
      </c>
      <c r="AA12" t="e">
        <f>COUNTIF([1]Sheet1!#REF!, "*"&amp; A12&amp;"*")</f>
        <v>#REF!</v>
      </c>
    </row>
    <row r="13" spans="1:27" x14ac:dyDescent="0.2">
      <c r="A13" s="5">
        <v>101009</v>
      </c>
      <c r="B13" s="5" t="s">
        <v>51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703</v>
      </c>
      <c r="M13" s="5">
        <v>10</v>
      </c>
      <c r="N13" s="5">
        <v>17</v>
      </c>
      <c r="O13" s="5"/>
      <c r="P13" s="5"/>
      <c r="Q13" s="5">
        <f t="shared" si="1"/>
        <v>806</v>
      </c>
      <c r="R13" s="5">
        <v>0</v>
      </c>
      <c r="S13" s="5">
        <v>1</v>
      </c>
      <c r="T13" s="5" t="s">
        <v>285</v>
      </c>
      <c r="U13" s="5"/>
      <c r="V13" s="5" t="s">
        <v>298</v>
      </c>
      <c r="X13" s="5" t="s">
        <v>183</v>
      </c>
      <c r="Y13" s="10" t="s">
        <v>69</v>
      </c>
      <c r="Z13" s="5" t="s">
        <v>418</v>
      </c>
      <c r="AA13" t="e">
        <f>COUNTIF([1]Sheet1!#REF!, "*"&amp; A13&amp;"*")</f>
        <v>#REF!</v>
      </c>
    </row>
    <row r="14" spans="1:27" x14ac:dyDescent="0.2">
      <c r="A14" s="5">
        <v>101010</v>
      </c>
      <c r="B14" s="5" t="s">
        <v>699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703</v>
      </c>
      <c r="M14" s="5">
        <v>10</v>
      </c>
      <c r="N14" s="5">
        <v>17</v>
      </c>
      <c r="O14" s="5"/>
      <c r="P14" s="5"/>
      <c r="Q14" s="5">
        <f t="shared" si="1"/>
        <v>123</v>
      </c>
      <c r="R14" s="5">
        <v>0</v>
      </c>
      <c r="S14" s="5">
        <v>1</v>
      </c>
      <c r="T14" s="5" t="s">
        <v>989</v>
      </c>
      <c r="U14" s="5"/>
      <c r="V14" s="5"/>
      <c r="W14" s="5"/>
      <c r="X14" s="5" t="s">
        <v>183</v>
      </c>
      <c r="Y14" s="10" t="s">
        <v>335</v>
      </c>
      <c r="Z14" s="5" t="s">
        <v>754</v>
      </c>
      <c r="AA14" t="e">
        <f>COUNTIF([1]Sheet1!#REF!, "*"&amp; A14&amp;"*")</f>
        <v>#REF!</v>
      </c>
    </row>
    <row r="15" spans="1:27" x14ac:dyDescent="0.2">
      <c r="A15" s="5">
        <v>101011</v>
      </c>
      <c r="B15" s="5" t="s">
        <v>700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703</v>
      </c>
      <c r="M15" s="5">
        <v>10</v>
      </c>
      <c r="N15" s="5">
        <v>17</v>
      </c>
      <c r="O15" s="5"/>
      <c r="P15" s="5"/>
      <c r="Q15" s="5">
        <f t="shared" si="1"/>
        <v>224</v>
      </c>
      <c r="R15" s="5">
        <v>0</v>
      </c>
      <c r="S15" s="5">
        <v>1</v>
      </c>
      <c r="T15" s="5" t="s">
        <v>989</v>
      </c>
      <c r="U15" s="5"/>
      <c r="V15" s="5"/>
      <c r="W15" s="5"/>
      <c r="X15" s="5" t="s">
        <v>183</v>
      </c>
      <c r="Y15" s="10" t="s">
        <v>335</v>
      </c>
      <c r="Z15" s="5" t="s">
        <v>755</v>
      </c>
    </row>
    <row r="16" spans="1:27" x14ac:dyDescent="0.2">
      <c r="A16" s="5">
        <v>101012</v>
      </c>
      <c r="B16" s="5" t="s">
        <v>701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703</v>
      </c>
      <c r="M16" s="5">
        <v>10</v>
      </c>
      <c r="N16" s="5">
        <v>17</v>
      </c>
      <c r="O16" s="5"/>
      <c r="P16" s="5"/>
      <c r="Q16" s="5">
        <f t="shared" si="1"/>
        <v>29</v>
      </c>
      <c r="R16" s="5">
        <v>0</v>
      </c>
      <c r="S16" s="5">
        <v>1</v>
      </c>
      <c r="T16" s="5" t="s">
        <v>989</v>
      </c>
      <c r="U16" s="5"/>
      <c r="V16" s="5"/>
      <c r="W16" s="5"/>
      <c r="X16" s="5" t="s">
        <v>183</v>
      </c>
      <c r="Y16" s="10" t="s">
        <v>335</v>
      </c>
      <c r="Z16" s="5" t="s">
        <v>756</v>
      </c>
    </row>
    <row r="17" spans="1:27" x14ac:dyDescent="0.2">
      <c r="A17" s="5">
        <v>101013</v>
      </c>
      <c r="B17" s="5" t="s">
        <v>702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703</v>
      </c>
      <c r="M17" s="5">
        <v>10</v>
      </c>
      <c r="N17" s="5">
        <v>17</v>
      </c>
      <c r="O17" s="5"/>
      <c r="P17" s="5"/>
      <c r="Q17" s="5">
        <f t="shared" si="1"/>
        <v>335</v>
      </c>
      <c r="R17" s="5">
        <v>0</v>
      </c>
      <c r="S17" s="5">
        <v>1</v>
      </c>
      <c r="T17" s="5" t="s">
        <v>989</v>
      </c>
      <c r="U17" s="5"/>
      <c r="V17" s="5"/>
      <c r="W17" s="5"/>
      <c r="X17" s="5" t="s">
        <v>183</v>
      </c>
      <c r="Y17" s="10" t="s">
        <v>335</v>
      </c>
      <c r="Z17" s="5" t="s">
        <v>757</v>
      </c>
    </row>
    <row r="18" spans="1:27" x14ac:dyDescent="0.2">
      <c r="A18" s="13">
        <v>100002</v>
      </c>
      <c r="B18" s="13" t="s">
        <v>29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723</v>
      </c>
      <c r="M18" s="5">
        <v>10</v>
      </c>
      <c r="N18" s="5">
        <v>17</v>
      </c>
      <c r="O18" s="5"/>
      <c r="P18" s="5"/>
      <c r="Q18" s="5">
        <v>0</v>
      </c>
      <c r="R18" s="5">
        <v>100</v>
      </c>
      <c r="S18" s="5">
        <v>1</v>
      </c>
      <c r="T18" s="5" t="s">
        <v>282</v>
      </c>
      <c r="U18" s="5"/>
      <c r="V18" s="5" t="s">
        <v>356</v>
      </c>
      <c r="W18" s="5"/>
      <c r="X18" s="5" t="s">
        <v>182</v>
      </c>
      <c r="Y18" s="11" t="s">
        <v>69</v>
      </c>
      <c r="Z18" s="5" t="s">
        <v>402</v>
      </c>
    </row>
    <row r="19" spans="1:27" x14ac:dyDescent="0.2">
      <c r="A19" s="5">
        <v>102001</v>
      </c>
      <c r="B19" s="5" t="s">
        <v>35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726</v>
      </c>
      <c r="M19" s="5">
        <v>10</v>
      </c>
      <c r="N19" s="5">
        <v>17</v>
      </c>
      <c r="O19">
        <v>30</v>
      </c>
      <c r="P19" s="5"/>
      <c r="Q19" s="5">
        <f t="shared" ref="Q19:Q50" si="2">MAX(25, INT(POWER(2.2,J19/45)))</f>
        <v>689</v>
      </c>
      <c r="R19" s="5">
        <v>0</v>
      </c>
      <c r="S19" s="5">
        <v>3</v>
      </c>
      <c r="T19" s="5" t="s">
        <v>289</v>
      </c>
      <c r="U19" s="5"/>
      <c r="V19" s="5" t="s">
        <v>270</v>
      </c>
      <c r="W19" s="5"/>
      <c r="X19" s="5" t="s">
        <v>186</v>
      </c>
      <c r="Y19" s="10" t="s">
        <v>159</v>
      </c>
      <c r="Z19" s="5" t="s">
        <v>446</v>
      </c>
      <c r="AA19" t="e">
        <f>COUNTIF([1]Sheet1!#REF!, "*"&amp; A19&amp;"*")</f>
        <v>#REF!</v>
      </c>
    </row>
    <row r="20" spans="1:27" x14ac:dyDescent="0.2">
      <c r="A20" s="5">
        <v>102002</v>
      </c>
      <c r="B20" s="5" t="s">
        <v>158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723</v>
      </c>
      <c r="M20" s="5">
        <v>10</v>
      </c>
      <c r="N20" s="5">
        <v>17</v>
      </c>
      <c r="O20" s="5"/>
      <c r="P20" s="5"/>
      <c r="Q20" s="5">
        <f t="shared" si="2"/>
        <v>880</v>
      </c>
      <c r="R20" s="5">
        <v>0</v>
      </c>
      <c r="S20" s="5">
        <v>1</v>
      </c>
      <c r="T20" s="5" t="s">
        <v>284</v>
      </c>
      <c r="U20" s="5"/>
      <c r="V20" s="5" t="s">
        <v>271</v>
      </c>
      <c r="W20" s="5"/>
      <c r="X20" s="5" t="s">
        <v>184</v>
      </c>
      <c r="Y20" s="10" t="s">
        <v>69</v>
      </c>
      <c r="Z20" s="5" t="s">
        <v>447</v>
      </c>
      <c r="AA20" t="e">
        <f>COUNTIF([1]Sheet1!#REF!, "*"&amp; A20&amp;"*")</f>
        <v>#REF!</v>
      </c>
    </row>
    <row r="21" spans="1:27" x14ac:dyDescent="0.2">
      <c r="A21" s="5">
        <v>102003</v>
      </c>
      <c r="B21" s="5" t="s">
        <v>84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723</v>
      </c>
      <c r="M21" s="5">
        <v>10</v>
      </c>
      <c r="N21" s="5">
        <v>17</v>
      </c>
      <c r="O21">
        <v>36</v>
      </c>
      <c r="P21" s="5"/>
      <c r="Q21" s="5">
        <f t="shared" si="2"/>
        <v>1145</v>
      </c>
      <c r="R21" s="5">
        <v>0</v>
      </c>
      <c r="S21" s="5">
        <v>3</v>
      </c>
      <c r="T21" s="5" t="s">
        <v>290</v>
      </c>
      <c r="U21" s="5"/>
      <c r="V21" s="5" t="s">
        <v>272</v>
      </c>
      <c r="W21" s="5"/>
      <c r="X21" s="5" t="s">
        <v>192</v>
      </c>
      <c r="Y21" s="10" t="s">
        <v>165</v>
      </c>
      <c r="Z21" s="5" t="s">
        <v>448</v>
      </c>
      <c r="AA21" t="e">
        <f>COUNTIF([1]Sheet1!#REF!, "*"&amp; A21&amp;"*")</f>
        <v>#REF!</v>
      </c>
    </row>
    <row r="22" spans="1:27" x14ac:dyDescent="0.2">
      <c r="A22" s="5">
        <v>102004</v>
      </c>
      <c r="B22" s="5" t="s">
        <v>234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723</v>
      </c>
      <c r="M22" s="5">
        <v>10</v>
      </c>
      <c r="N22" s="5">
        <v>17</v>
      </c>
      <c r="O22" s="5"/>
      <c r="P22" s="5"/>
      <c r="Q22" s="5">
        <f t="shared" si="2"/>
        <v>125</v>
      </c>
      <c r="R22" s="5">
        <v>0</v>
      </c>
      <c r="S22" s="5">
        <v>1</v>
      </c>
      <c r="T22" s="5" t="s">
        <v>283</v>
      </c>
      <c r="U22" s="5"/>
      <c r="V22" s="5" t="s">
        <v>369</v>
      </c>
      <c r="W22" s="5"/>
      <c r="X22" s="5" t="s">
        <v>309</v>
      </c>
      <c r="Y22" s="10" t="s">
        <v>69</v>
      </c>
      <c r="Z22" s="5" t="s">
        <v>450</v>
      </c>
      <c r="AA22" t="e">
        <f>COUNTIF([1]Sheet1!#REF!, "*"&amp; A22&amp;"*")</f>
        <v>#REF!</v>
      </c>
    </row>
    <row r="23" spans="1:27" x14ac:dyDescent="0.2">
      <c r="A23" s="5">
        <v>102005</v>
      </c>
      <c r="B23" s="5" t="s">
        <v>23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727</v>
      </c>
      <c r="M23" s="5">
        <v>10</v>
      </c>
      <c r="N23" s="5">
        <v>17</v>
      </c>
      <c r="O23">
        <v>40</v>
      </c>
      <c r="P23" s="5">
        <v>5</v>
      </c>
      <c r="Q23" s="5">
        <f t="shared" si="2"/>
        <v>485</v>
      </c>
      <c r="R23" s="5">
        <v>0</v>
      </c>
      <c r="S23" s="5">
        <v>3</v>
      </c>
      <c r="T23" s="5" t="s">
        <v>292</v>
      </c>
      <c r="U23" s="5"/>
      <c r="V23" s="5" t="s">
        <v>264</v>
      </c>
      <c r="W23" s="5"/>
      <c r="X23" s="5" t="s">
        <v>185</v>
      </c>
      <c r="Y23" s="10" t="s">
        <v>164</v>
      </c>
      <c r="Z23" s="5" t="s">
        <v>451</v>
      </c>
      <c r="AA23" t="e">
        <f>COUNTIF([1]Sheet1!#REF!, "*"&amp; A23&amp;"*")</f>
        <v>#REF!</v>
      </c>
    </row>
    <row r="24" spans="1:27" x14ac:dyDescent="0.2">
      <c r="A24" s="5">
        <v>102006</v>
      </c>
      <c r="B24" s="5" t="s">
        <v>31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723</v>
      </c>
      <c r="M24" s="5">
        <v>10</v>
      </c>
      <c r="N24" s="5">
        <v>17</v>
      </c>
      <c r="O24" s="5"/>
      <c r="P24" s="5"/>
      <c r="Q24" s="5">
        <f t="shared" si="2"/>
        <v>240</v>
      </c>
      <c r="R24" s="5">
        <v>0</v>
      </c>
      <c r="S24" s="5">
        <v>1</v>
      </c>
      <c r="T24" s="5" t="s">
        <v>283</v>
      </c>
      <c r="U24" s="5"/>
      <c r="V24" s="5" t="s">
        <v>265</v>
      </c>
      <c r="W24" s="5"/>
      <c r="X24" s="5" t="s">
        <v>183</v>
      </c>
      <c r="Y24" s="10" t="s">
        <v>69</v>
      </c>
      <c r="Z24" s="5" t="s">
        <v>452</v>
      </c>
      <c r="AA24" t="e">
        <f>COUNTIF([1]Sheet1!#REF!, "*"&amp; A24&amp;"*")</f>
        <v>#REF!</v>
      </c>
    </row>
    <row r="25" spans="1:27" x14ac:dyDescent="0.2">
      <c r="A25" s="5">
        <v>102007</v>
      </c>
      <c r="B25" s="5" t="s">
        <v>49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728</v>
      </c>
      <c r="M25" s="5">
        <v>10</v>
      </c>
      <c r="N25" s="5">
        <v>17</v>
      </c>
      <c r="O25">
        <v>40</v>
      </c>
      <c r="P25" s="5">
        <v>5</v>
      </c>
      <c r="Q25" s="5">
        <f t="shared" si="2"/>
        <v>995</v>
      </c>
      <c r="R25" s="5">
        <v>0</v>
      </c>
      <c r="S25" s="5">
        <v>3</v>
      </c>
      <c r="T25" s="5" t="s">
        <v>292</v>
      </c>
      <c r="U25" s="5"/>
      <c r="V25" s="5" t="s">
        <v>298</v>
      </c>
      <c r="W25" s="5"/>
      <c r="X25" s="5" t="s">
        <v>185</v>
      </c>
      <c r="Y25" s="10" t="s">
        <v>381</v>
      </c>
      <c r="Z25" s="5" t="s">
        <v>454</v>
      </c>
      <c r="AA25" t="e">
        <f>COUNTIF([1]Sheet1!#REF!, "*"&amp; A25&amp;"*")</f>
        <v>#REF!</v>
      </c>
    </row>
    <row r="26" spans="1:27" x14ac:dyDescent="0.2">
      <c r="A26" s="5">
        <v>102008</v>
      </c>
      <c r="B26" s="5" t="s">
        <v>85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723</v>
      </c>
      <c r="M26" s="5">
        <v>10</v>
      </c>
      <c r="N26" s="5">
        <v>17</v>
      </c>
      <c r="O26">
        <v>30</v>
      </c>
      <c r="P26" s="5"/>
      <c r="Q26" s="5">
        <f t="shared" si="2"/>
        <v>689</v>
      </c>
      <c r="R26" s="5">
        <v>0</v>
      </c>
      <c r="S26" s="5">
        <v>3</v>
      </c>
      <c r="T26" s="5" t="s">
        <v>289</v>
      </c>
      <c r="U26" s="5"/>
      <c r="V26" s="5" t="s">
        <v>260</v>
      </c>
      <c r="W26" s="5" t="s">
        <v>377</v>
      </c>
      <c r="X26" s="5" t="s">
        <v>186</v>
      </c>
      <c r="Y26" s="10" t="s">
        <v>166</v>
      </c>
      <c r="Z26" s="5" t="s">
        <v>455</v>
      </c>
      <c r="AA26" t="e">
        <f>COUNTIF([1]Sheet1!#REF!, "*"&amp; A26&amp;"*")</f>
        <v>#REF!</v>
      </c>
    </row>
    <row r="27" spans="1:27" x14ac:dyDescent="0.2">
      <c r="A27" s="5">
        <v>102009</v>
      </c>
      <c r="B27" s="5" t="s">
        <v>22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728</v>
      </c>
      <c r="M27" s="5">
        <v>10</v>
      </c>
      <c r="N27" s="5">
        <v>17</v>
      </c>
      <c r="O27" s="5"/>
      <c r="P27" s="5"/>
      <c r="Q27" s="5">
        <f t="shared" si="2"/>
        <v>318</v>
      </c>
      <c r="R27" s="5">
        <v>0</v>
      </c>
      <c r="S27" s="5">
        <v>1</v>
      </c>
      <c r="T27" s="5" t="s">
        <v>285</v>
      </c>
      <c r="U27" s="5"/>
      <c r="V27" s="5" t="s">
        <v>263</v>
      </c>
      <c r="W27" s="5" t="s">
        <v>388</v>
      </c>
      <c r="X27" s="5" t="s">
        <v>183</v>
      </c>
      <c r="Y27" s="10" t="s">
        <v>69</v>
      </c>
      <c r="Z27" s="5" t="s">
        <v>456</v>
      </c>
      <c r="AA27" t="e">
        <f>COUNTIF([1]Sheet1!#REF!, "*"&amp; A27&amp;"*")</f>
        <v>#REF!</v>
      </c>
    </row>
    <row r="28" spans="1:27" x14ac:dyDescent="0.2">
      <c r="A28" s="5">
        <v>102010</v>
      </c>
      <c r="B28" s="5" t="s">
        <v>25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726</v>
      </c>
      <c r="M28" s="5">
        <v>10</v>
      </c>
      <c r="N28" s="5">
        <v>17</v>
      </c>
      <c r="O28" s="5"/>
      <c r="P28" s="5"/>
      <c r="Q28" s="5">
        <f t="shared" si="2"/>
        <v>548</v>
      </c>
      <c r="R28" s="5">
        <v>0</v>
      </c>
      <c r="S28" s="5">
        <v>1</v>
      </c>
      <c r="T28" s="5" t="s">
        <v>286</v>
      </c>
      <c r="U28" s="5"/>
      <c r="V28" s="5" t="s">
        <v>263</v>
      </c>
      <c r="W28" s="5"/>
      <c r="X28" s="5" t="s">
        <v>184</v>
      </c>
      <c r="Y28" s="10" t="s">
        <v>69</v>
      </c>
      <c r="Z28" s="5" t="s">
        <v>457</v>
      </c>
      <c r="AA28" t="e">
        <f>COUNTIF([1]Sheet1!#REF!, "*"&amp; A28&amp;"*")</f>
        <v>#REF!</v>
      </c>
    </row>
    <row r="29" spans="1:27" x14ac:dyDescent="0.2">
      <c r="A29" s="5">
        <v>102011</v>
      </c>
      <c r="B29" s="5" t="s">
        <v>30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727</v>
      </c>
      <c r="M29" s="5">
        <v>10</v>
      </c>
      <c r="N29" s="5">
        <v>17</v>
      </c>
      <c r="O29" s="5"/>
      <c r="P29" s="5"/>
      <c r="Q29" s="5">
        <f t="shared" si="2"/>
        <v>185</v>
      </c>
      <c r="R29" s="5">
        <v>0</v>
      </c>
      <c r="S29" s="5">
        <v>1</v>
      </c>
      <c r="T29" s="5" t="s">
        <v>286</v>
      </c>
      <c r="U29" s="5"/>
      <c r="V29" s="5" t="s">
        <v>267</v>
      </c>
      <c r="W29" s="5"/>
      <c r="X29" s="5" t="s">
        <v>184</v>
      </c>
      <c r="Y29" s="10" t="s">
        <v>69</v>
      </c>
      <c r="Z29" s="5" t="s">
        <v>458</v>
      </c>
      <c r="AA29" t="e">
        <f>COUNTIF([1]Sheet1!#REF!, "*"&amp; A29&amp;"*")</f>
        <v>#REF!</v>
      </c>
    </row>
    <row r="30" spans="1:27" x14ac:dyDescent="0.2">
      <c r="A30" s="5">
        <v>102012</v>
      </c>
      <c r="B30" s="5" t="s">
        <v>33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729</v>
      </c>
      <c r="M30" s="5">
        <v>10</v>
      </c>
      <c r="N30" s="5">
        <v>17</v>
      </c>
      <c r="O30" s="5"/>
      <c r="P30" s="5"/>
      <c r="Q30" s="5">
        <f t="shared" si="2"/>
        <v>302</v>
      </c>
      <c r="R30" s="5">
        <v>0</v>
      </c>
      <c r="S30" s="5">
        <v>1</v>
      </c>
      <c r="T30" s="5" t="s">
        <v>285</v>
      </c>
      <c r="U30" s="5"/>
      <c r="V30" s="5" t="s">
        <v>326</v>
      </c>
      <c r="W30" s="5"/>
      <c r="X30" s="5" t="s">
        <v>184</v>
      </c>
      <c r="Y30" s="10" t="s">
        <v>69</v>
      </c>
      <c r="Z30" s="5" t="s">
        <v>460</v>
      </c>
      <c r="AA30" t="e">
        <f>COUNTIF([1]Sheet1!#REF!, "*"&amp; A30&amp;"*")</f>
        <v>#REF!</v>
      </c>
    </row>
    <row r="31" spans="1:27" x14ac:dyDescent="0.2">
      <c r="A31" s="5">
        <v>102013</v>
      </c>
      <c r="B31" s="5" t="s">
        <v>235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729</v>
      </c>
      <c r="M31" s="5">
        <v>10</v>
      </c>
      <c r="N31" s="5">
        <v>17</v>
      </c>
      <c r="O31" s="5"/>
      <c r="P31" s="5"/>
      <c r="Q31" s="5">
        <f t="shared" si="2"/>
        <v>779</v>
      </c>
      <c r="R31" s="5">
        <v>0</v>
      </c>
      <c r="S31" s="5">
        <v>1</v>
      </c>
      <c r="T31" s="5" t="s">
        <v>285</v>
      </c>
      <c r="U31" s="5"/>
      <c r="V31" s="5" t="s">
        <v>350</v>
      </c>
      <c r="W31" s="5" t="s">
        <v>366</v>
      </c>
      <c r="X31" s="5" t="s">
        <v>310</v>
      </c>
      <c r="Y31" s="10" t="s">
        <v>69</v>
      </c>
      <c r="Z31" s="5" t="s">
        <v>461</v>
      </c>
      <c r="AA31" t="e">
        <f>COUNTIF([1]Sheet1!#REF!, "*"&amp; A31&amp;"*")</f>
        <v>#REF!</v>
      </c>
    </row>
    <row r="32" spans="1:27" x14ac:dyDescent="0.2">
      <c r="A32" s="5">
        <v>102014</v>
      </c>
      <c r="B32" s="5" t="s">
        <v>36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726</v>
      </c>
      <c r="M32" s="5">
        <v>10</v>
      </c>
      <c r="N32" s="5">
        <v>17</v>
      </c>
      <c r="O32">
        <v>40</v>
      </c>
      <c r="P32" s="5">
        <v>5</v>
      </c>
      <c r="Q32" s="5">
        <f t="shared" si="2"/>
        <v>307</v>
      </c>
      <c r="R32" s="5">
        <v>0</v>
      </c>
      <c r="S32" s="5">
        <v>3</v>
      </c>
      <c r="T32" s="5" t="s">
        <v>988</v>
      </c>
      <c r="U32" s="5"/>
      <c r="V32" s="5"/>
      <c r="W32" s="5"/>
      <c r="X32" s="5" t="s">
        <v>185</v>
      </c>
      <c r="Y32" s="10" t="s">
        <v>164</v>
      </c>
      <c r="Z32" s="5" t="s">
        <v>462</v>
      </c>
      <c r="AA32" t="e">
        <f>COUNTIF([1]Sheet1!#REF!, "*"&amp; A32&amp;"*")</f>
        <v>#REF!</v>
      </c>
    </row>
    <row r="33" spans="1:27" x14ac:dyDescent="0.2">
      <c r="A33" s="5">
        <v>102015</v>
      </c>
      <c r="B33" s="5" t="s">
        <v>75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729</v>
      </c>
      <c r="M33" s="5">
        <v>10</v>
      </c>
      <c r="N33" s="5">
        <v>17</v>
      </c>
      <c r="O33" s="5"/>
      <c r="P33" s="5"/>
      <c r="Q33" s="5">
        <f t="shared" si="2"/>
        <v>631</v>
      </c>
      <c r="R33" s="5">
        <v>0</v>
      </c>
      <c r="S33" s="5">
        <v>1</v>
      </c>
      <c r="T33" s="5" t="s">
        <v>286</v>
      </c>
      <c r="U33" s="5"/>
      <c r="V33" s="5" t="s">
        <v>391</v>
      </c>
      <c r="W33" s="5"/>
      <c r="X33" s="5" t="s">
        <v>183</v>
      </c>
      <c r="Y33" s="10" t="s">
        <v>69</v>
      </c>
      <c r="Z33" s="5" t="s">
        <v>465</v>
      </c>
      <c r="AA33" t="e">
        <f>COUNTIF([1]Sheet1!#REF!, "*"&amp; A33&amp;"*")</f>
        <v>#REF!</v>
      </c>
    </row>
    <row r="34" spans="1:27" x14ac:dyDescent="0.2">
      <c r="A34" s="5">
        <v>102016</v>
      </c>
      <c r="B34" s="5" t="s">
        <v>77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724</v>
      </c>
      <c r="M34" s="5">
        <v>10</v>
      </c>
      <c r="N34" s="5">
        <v>17</v>
      </c>
      <c r="O34">
        <v>30</v>
      </c>
      <c r="P34" s="5"/>
      <c r="Q34" s="5">
        <f t="shared" si="2"/>
        <v>379</v>
      </c>
      <c r="R34" s="5">
        <v>0</v>
      </c>
      <c r="S34" s="5">
        <v>3</v>
      </c>
      <c r="T34" s="5" t="s">
        <v>289</v>
      </c>
      <c r="U34" s="5"/>
      <c r="V34" s="5" t="s">
        <v>357</v>
      </c>
      <c r="W34" s="5" t="s">
        <v>367</v>
      </c>
      <c r="X34" s="5" t="s">
        <v>186</v>
      </c>
      <c r="Y34" s="10" t="s">
        <v>68</v>
      </c>
      <c r="Z34" s="5" t="s">
        <v>467</v>
      </c>
      <c r="AA34" t="e">
        <f>COUNTIF([1]Sheet1!#REF!, "*"&amp; A34&amp;"*")</f>
        <v>#REF!</v>
      </c>
    </row>
    <row r="35" spans="1:27" x14ac:dyDescent="0.2">
      <c r="A35" s="5">
        <v>102017</v>
      </c>
      <c r="B35" s="5" t="s">
        <v>78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727</v>
      </c>
      <c r="M35" s="5">
        <v>10</v>
      </c>
      <c r="N35" s="5">
        <v>17</v>
      </c>
      <c r="O35">
        <v>36</v>
      </c>
      <c r="P35" s="5"/>
      <c r="Q35" s="5">
        <f t="shared" si="2"/>
        <v>47</v>
      </c>
      <c r="R35" s="5">
        <v>0</v>
      </c>
      <c r="S35" s="5">
        <v>3</v>
      </c>
      <c r="T35" s="5" t="s">
        <v>290</v>
      </c>
      <c r="U35" s="5"/>
      <c r="V35" s="5" t="s">
        <v>374</v>
      </c>
      <c r="X35" s="5" t="s">
        <v>192</v>
      </c>
      <c r="Y35" s="10" t="s">
        <v>332</v>
      </c>
      <c r="Z35" s="5" t="s">
        <v>468</v>
      </c>
      <c r="AA35" t="e">
        <f>COUNTIF([1]Sheet1!#REF!, "*"&amp; A35&amp;"*")</f>
        <v>#REF!</v>
      </c>
    </row>
    <row r="36" spans="1:27" x14ac:dyDescent="0.2">
      <c r="A36" s="5">
        <v>102018</v>
      </c>
      <c r="B36" s="5" t="s">
        <v>229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726</v>
      </c>
      <c r="M36" s="5">
        <v>10</v>
      </c>
      <c r="N36" s="5">
        <v>17</v>
      </c>
      <c r="O36" s="5"/>
      <c r="P36" s="5"/>
      <c r="Q36" s="5">
        <f t="shared" si="2"/>
        <v>115</v>
      </c>
      <c r="R36" s="5">
        <v>0</v>
      </c>
      <c r="S36" s="5">
        <v>1</v>
      </c>
      <c r="T36" s="5" t="s">
        <v>295</v>
      </c>
      <c r="U36" s="5"/>
      <c r="V36" s="5" t="s">
        <v>351</v>
      </c>
      <c r="X36" s="5" t="s">
        <v>305</v>
      </c>
      <c r="Y36" s="10" t="s">
        <v>69</v>
      </c>
      <c r="Z36" s="5" t="s">
        <v>469</v>
      </c>
      <c r="AA36" t="e">
        <f>COUNTIF([1]Sheet1!#REF!, "*"&amp; A36&amp;"*")</f>
        <v>#REF!</v>
      </c>
    </row>
    <row r="37" spans="1:27" x14ac:dyDescent="0.2">
      <c r="A37" s="5">
        <v>102019</v>
      </c>
      <c r="B37" s="5" t="s">
        <v>81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723</v>
      </c>
      <c r="M37" s="5">
        <v>10</v>
      </c>
      <c r="N37" s="5">
        <v>17</v>
      </c>
      <c r="O37">
        <v>30</v>
      </c>
      <c r="P37" s="5"/>
      <c r="Q37" s="5">
        <f t="shared" si="2"/>
        <v>502</v>
      </c>
      <c r="R37" s="5">
        <v>0</v>
      </c>
      <c r="S37" s="5">
        <v>3</v>
      </c>
      <c r="T37" s="5" t="s">
        <v>291</v>
      </c>
      <c r="U37" s="5"/>
      <c r="V37" s="5" t="s">
        <v>324</v>
      </c>
      <c r="W37" s="5" t="s">
        <v>377</v>
      </c>
      <c r="X37" s="5" t="s">
        <v>192</v>
      </c>
      <c r="Y37" s="10" t="s">
        <v>330</v>
      </c>
      <c r="Z37" s="5" t="s">
        <v>472</v>
      </c>
      <c r="AA37" t="e">
        <f>COUNTIF([1]Sheet1!#REF!, "*"&amp; A37&amp;"*")</f>
        <v>#REF!</v>
      </c>
    </row>
    <row r="38" spans="1:27" x14ac:dyDescent="0.2">
      <c r="A38" s="5">
        <v>102020</v>
      </c>
      <c r="B38" s="5" t="s">
        <v>82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726</v>
      </c>
      <c r="M38" s="5">
        <v>10</v>
      </c>
      <c r="N38" s="5">
        <v>17</v>
      </c>
      <c r="O38" s="5"/>
      <c r="P38" s="5"/>
      <c r="Q38" s="5">
        <f t="shared" si="2"/>
        <v>599</v>
      </c>
      <c r="R38" s="5">
        <v>0</v>
      </c>
      <c r="S38" s="5">
        <v>1</v>
      </c>
      <c r="T38" s="5" t="s">
        <v>286</v>
      </c>
      <c r="U38" s="5"/>
      <c r="V38" s="5" t="s">
        <v>261</v>
      </c>
      <c r="W38" s="5" t="s">
        <v>391</v>
      </c>
      <c r="X38" s="5" t="s">
        <v>183</v>
      </c>
      <c r="Y38" s="10" t="s">
        <v>69</v>
      </c>
      <c r="Z38" s="5" t="s">
        <v>473</v>
      </c>
      <c r="AA38" t="e">
        <f>COUNTIF([1]Sheet1!#REF!, "*"&amp; A38&amp;"*")</f>
        <v>#REF!</v>
      </c>
    </row>
    <row r="39" spans="1:27" x14ac:dyDescent="0.2">
      <c r="A39" s="5">
        <v>102021</v>
      </c>
      <c r="B39" s="5" t="s">
        <v>237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723</v>
      </c>
      <c r="M39" s="5">
        <v>10</v>
      </c>
      <c r="N39" s="5">
        <v>17</v>
      </c>
      <c r="O39" s="5"/>
      <c r="P39" s="5"/>
      <c r="Q39" s="5">
        <f t="shared" si="2"/>
        <v>1031</v>
      </c>
      <c r="R39" s="5">
        <v>0</v>
      </c>
      <c r="S39" s="5">
        <v>1</v>
      </c>
      <c r="T39" s="5" t="s">
        <v>295</v>
      </c>
      <c r="U39" s="5"/>
      <c r="V39" s="5" t="s">
        <v>364</v>
      </c>
      <c r="W39" s="5"/>
      <c r="X39" s="5" t="s">
        <v>312</v>
      </c>
      <c r="Y39" s="10" t="s">
        <v>69</v>
      </c>
      <c r="Z39" s="5" t="s">
        <v>474</v>
      </c>
      <c r="AA39" t="e">
        <f>COUNTIF([1]Sheet1!#REF!, "*"&amp; A39&amp;"*")</f>
        <v>#REF!</v>
      </c>
    </row>
    <row r="40" spans="1:27" x14ac:dyDescent="0.2">
      <c r="A40" s="5">
        <v>102022</v>
      </c>
      <c r="B40" s="5" t="s">
        <v>86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723</v>
      </c>
      <c r="M40" s="5">
        <v>10</v>
      </c>
      <c r="N40" s="5">
        <v>17</v>
      </c>
      <c r="O40">
        <v>30</v>
      </c>
      <c r="P40" s="5"/>
      <c r="Q40" s="5">
        <f t="shared" si="2"/>
        <v>421</v>
      </c>
      <c r="R40" s="5">
        <v>0</v>
      </c>
      <c r="S40" s="5">
        <v>3</v>
      </c>
      <c r="T40" s="5" t="s">
        <v>291</v>
      </c>
      <c r="U40" s="5"/>
      <c r="V40" s="5" t="s">
        <v>374</v>
      </c>
      <c r="W40" s="5"/>
      <c r="X40" s="5" t="s">
        <v>186</v>
      </c>
      <c r="Y40" s="10" t="s">
        <v>330</v>
      </c>
      <c r="Z40" s="5" t="s">
        <v>475</v>
      </c>
      <c r="AA40" t="e">
        <f>COUNTIF([1]Sheet1!#REF!, "*"&amp; A40&amp;"*")</f>
        <v>#REF!</v>
      </c>
    </row>
    <row r="41" spans="1:27" x14ac:dyDescent="0.2">
      <c r="A41" s="5">
        <v>102023</v>
      </c>
      <c r="B41" s="5" t="s">
        <v>87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727</v>
      </c>
      <c r="M41" s="5">
        <v>10</v>
      </c>
      <c r="N41" s="5">
        <v>17</v>
      </c>
      <c r="O41">
        <v>26</v>
      </c>
      <c r="P41" s="5">
        <v>8</v>
      </c>
      <c r="Q41" s="5">
        <f t="shared" si="2"/>
        <v>460</v>
      </c>
      <c r="R41" s="5">
        <v>0</v>
      </c>
      <c r="S41" s="5">
        <v>3</v>
      </c>
      <c r="T41" s="5" t="s">
        <v>287</v>
      </c>
      <c r="U41" s="5"/>
      <c r="V41" s="5"/>
      <c r="W41" s="5"/>
      <c r="X41" s="5" t="s">
        <v>185</v>
      </c>
      <c r="Y41" s="10" t="s">
        <v>368</v>
      </c>
      <c r="Z41" s="5" t="s">
        <v>476</v>
      </c>
      <c r="AA41" t="e">
        <f>COUNTIF([1]Sheet1!#REF!, "*"&amp; A41&amp;"*")</f>
        <v>#REF!</v>
      </c>
    </row>
    <row r="42" spans="1:27" x14ac:dyDescent="0.2">
      <c r="A42" s="5">
        <v>102024</v>
      </c>
      <c r="B42" s="5" t="s">
        <v>125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726</v>
      </c>
      <c r="M42" s="5">
        <v>10</v>
      </c>
      <c r="N42" s="5">
        <v>17</v>
      </c>
      <c r="O42">
        <v>26</v>
      </c>
      <c r="P42" s="5">
        <v>8</v>
      </c>
      <c r="Q42" s="5">
        <f t="shared" si="2"/>
        <v>236</v>
      </c>
      <c r="R42" s="5">
        <v>0</v>
      </c>
      <c r="S42" s="5">
        <v>3</v>
      </c>
      <c r="T42" s="5" t="s">
        <v>287</v>
      </c>
      <c r="U42" s="5"/>
      <c r="X42" s="5" t="s">
        <v>305</v>
      </c>
      <c r="Y42" s="10" t="s">
        <v>69</v>
      </c>
      <c r="Z42" s="5" t="s">
        <v>477</v>
      </c>
      <c r="AA42" t="e">
        <f>COUNTIF([1]Sheet1!#REF!, "*"&amp; A42&amp;"*")</f>
        <v>#REF!</v>
      </c>
    </row>
    <row r="43" spans="1:27" x14ac:dyDescent="0.2">
      <c r="A43" s="5">
        <v>102025</v>
      </c>
      <c r="B43" s="5" t="s">
        <v>143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727</v>
      </c>
      <c r="M43" s="5">
        <v>10</v>
      </c>
      <c r="N43" s="5">
        <v>17</v>
      </c>
      <c r="O43" s="5"/>
      <c r="P43" s="5"/>
      <c r="Q43" s="5">
        <f t="shared" si="2"/>
        <v>236</v>
      </c>
      <c r="R43" s="5">
        <v>0</v>
      </c>
      <c r="S43" s="5">
        <v>1</v>
      </c>
      <c r="T43" s="5" t="s">
        <v>286</v>
      </c>
      <c r="U43" s="5"/>
      <c r="V43" s="5" t="s">
        <v>263</v>
      </c>
      <c r="W43" s="5"/>
      <c r="X43" s="5" t="s">
        <v>184</v>
      </c>
      <c r="Y43" s="10" t="s">
        <v>69</v>
      </c>
      <c r="Z43" s="5" t="s">
        <v>478</v>
      </c>
      <c r="AA43" t="e">
        <f>COUNTIF([1]Sheet1!#REF!, "*"&amp; A43&amp;"*")</f>
        <v>#REF!</v>
      </c>
    </row>
    <row r="44" spans="1:27" x14ac:dyDescent="0.2">
      <c r="A44" s="5">
        <v>102026</v>
      </c>
      <c r="B44" s="5" t="s">
        <v>203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728</v>
      </c>
      <c r="M44" s="5">
        <v>10</v>
      </c>
      <c r="N44" s="5">
        <v>17</v>
      </c>
      <c r="O44" s="5"/>
      <c r="P44" s="5"/>
      <c r="Q44" s="5">
        <f t="shared" si="2"/>
        <v>588</v>
      </c>
      <c r="R44" s="5">
        <v>0</v>
      </c>
      <c r="S44" s="5">
        <v>1</v>
      </c>
      <c r="T44" s="5" t="s">
        <v>285</v>
      </c>
      <c r="U44" s="5"/>
      <c r="V44" s="5" t="s">
        <v>299</v>
      </c>
      <c r="W44" s="5"/>
      <c r="X44" s="5" t="s">
        <v>314</v>
      </c>
      <c r="Y44" s="10" t="s">
        <v>328</v>
      </c>
      <c r="Z44" s="5" t="s">
        <v>483</v>
      </c>
      <c r="AA44" t="e">
        <f>COUNTIF([1]Sheet1!#REF!, "*"&amp; A44&amp;"*")</f>
        <v>#REF!</v>
      </c>
    </row>
    <row r="45" spans="1:27" x14ac:dyDescent="0.2">
      <c r="A45" s="5">
        <v>102027</v>
      </c>
      <c r="B45" s="5" t="s">
        <v>240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723</v>
      </c>
      <c r="M45" s="5">
        <v>10</v>
      </c>
      <c r="N45" s="5">
        <v>17</v>
      </c>
      <c r="O45">
        <v>30</v>
      </c>
      <c r="P45" s="5"/>
      <c r="Q45" s="5">
        <f t="shared" si="2"/>
        <v>142</v>
      </c>
      <c r="R45" s="5">
        <v>0</v>
      </c>
      <c r="S45" s="5">
        <v>3</v>
      </c>
      <c r="T45" s="5" t="s">
        <v>291</v>
      </c>
      <c r="U45" s="5"/>
      <c r="V45" s="5" t="s">
        <v>377</v>
      </c>
      <c r="W45" s="5"/>
      <c r="X45" s="5" t="s">
        <v>186</v>
      </c>
      <c r="Y45" s="10" t="s">
        <v>330</v>
      </c>
      <c r="Z45" s="5" t="s">
        <v>484</v>
      </c>
      <c r="AA45" t="e">
        <f>COUNTIF([1]Sheet1!#REF!, "*"&amp; A45&amp;"*")</f>
        <v>#REF!</v>
      </c>
    </row>
    <row r="46" spans="1:27" x14ac:dyDescent="0.2">
      <c r="A46" s="5">
        <v>102028</v>
      </c>
      <c r="B46" s="5" t="s">
        <v>242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729</v>
      </c>
      <c r="M46" s="5">
        <v>10</v>
      </c>
      <c r="N46" s="5">
        <v>17</v>
      </c>
      <c r="O46">
        <v>58</v>
      </c>
      <c r="P46" s="5"/>
      <c r="Q46" s="5">
        <f t="shared" si="2"/>
        <v>181</v>
      </c>
      <c r="R46" s="5">
        <v>0</v>
      </c>
      <c r="S46" s="5">
        <v>3</v>
      </c>
      <c r="T46" s="5" t="s">
        <v>297</v>
      </c>
      <c r="U46" s="5"/>
      <c r="V46" s="5" t="s">
        <v>320</v>
      </c>
      <c r="W46" s="5"/>
      <c r="X46" s="5" t="s">
        <v>192</v>
      </c>
      <c r="Y46" s="10" t="s">
        <v>331</v>
      </c>
      <c r="Z46" s="5" t="s">
        <v>485</v>
      </c>
      <c r="AA46" t="e">
        <f>COUNTIF([1]Sheet1!#REF!, "*"&amp; A46&amp;"*")</f>
        <v>#REF!</v>
      </c>
    </row>
    <row r="47" spans="1:27" x14ac:dyDescent="0.2">
      <c r="A47" s="5">
        <v>102029</v>
      </c>
      <c r="B47" s="5" t="s">
        <v>246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728</v>
      </c>
      <c r="M47" s="5">
        <v>10</v>
      </c>
      <c r="N47" s="5">
        <v>17</v>
      </c>
      <c r="O47">
        <v>58</v>
      </c>
      <c r="P47" s="5"/>
      <c r="Q47" s="5">
        <f t="shared" si="2"/>
        <v>71</v>
      </c>
      <c r="R47" s="5">
        <v>0</v>
      </c>
      <c r="S47" s="5">
        <v>3</v>
      </c>
      <c r="T47" s="5" t="s">
        <v>297</v>
      </c>
      <c r="U47" s="5"/>
      <c r="V47" t="s">
        <v>390</v>
      </c>
      <c r="X47" s="5" t="s">
        <v>192</v>
      </c>
      <c r="Y47" s="10" t="s">
        <v>331</v>
      </c>
      <c r="Z47" s="5" t="s">
        <v>486</v>
      </c>
      <c r="AA47" t="e">
        <f>COUNTIF([1]Sheet1!#REF!, "*"&amp; A47&amp;"*")</f>
        <v>#REF!</v>
      </c>
    </row>
    <row r="48" spans="1:27" x14ac:dyDescent="0.2">
      <c r="A48" s="5">
        <v>102030</v>
      </c>
      <c r="B48" s="5" t="s">
        <v>251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728</v>
      </c>
      <c r="M48" s="5">
        <v>10</v>
      </c>
      <c r="N48" s="5">
        <v>17</v>
      </c>
      <c r="O48">
        <v>30</v>
      </c>
      <c r="P48" s="5"/>
      <c r="Q48" s="5">
        <f t="shared" si="2"/>
        <v>286</v>
      </c>
      <c r="R48" s="5">
        <v>0</v>
      </c>
      <c r="S48" s="5">
        <v>3</v>
      </c>
      <c r="T48" s="5" t="s">
        <v>289</v>
      </c>
      <c r="U48" s="5"/>
      <c r="V48" t="s">
        <v>395</v>
      </c>
      <c r="X48" s="5" t="s">
        <v>315</v>
      </c>
      <c r="Y48" s="10" t="s">
        <v>68</v>
      </c>
      <c r="Z48" s="5" t="s">
        <v>487</v>
      </c>
      <c r="AA48" t="e">
        <f>COUNTIF([1]Sheet1!#REF!, "*"&amp; A48&amp;"*")</f>
        <v>#REF!</v>
      </c>
    </row>
    <row r="49" spans="1:27" x14ac:dyDescent="0.2">
      <c r="A49" s="5">
        <v>102032</v>
      </c>
      <c r="B49" s="5" t="s">
        <v>80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729</v>
      </c>
      <c r="M49" s="5">
        <v>10</v>
      </c>
      <c r="N49" s="5">
        <v>17</v>
      </c>
      <c r="O49" s="5"/>
      <c r="P49" s="5"/>
      <c r="Q49" s="5">
        <f t="shared" si="2"/>
        <v>701</v>
      </c>
      <c r="R49" s="5">
        <v>0</v>
      </c>
      <c r="S49" s="5">
        <v>1</v>
      </c>
      <c r="T49" s="5" t="s">
        <v>285</v>
      </c>
      <c r="U49" s="5"/>
      <c r="V49" s="5" t="s">
        <v>349</v>
      </c>
      <c r="X49" s="5" t="s">
        <v>311</v>
      </c>
      <c r="Y49" s="10" t="s">
        <v>69</v>
      </c>
      <c r="Z49" s="5" t="s">
        <v>471</v>
      </c>
      <c r="AA49" t="e">
        <f>COUNTIF([1]Sheet1!#REF!, "*"&amp; A49&amp;"*")</f>
        <v>#REF!</v>
      </c>
    </row>
    <row r="50" spans="1:27" x14ac:dyDescent="0.2">
      <c r="A50" s="5">
        <v>102033</v>
      </c>
      <c r="B50" s="5" t="s">
        <v>200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725</v>
      </c>
      <c r="M50" s="5">
        <v>10</v>
      </c>
      <c r="N50" s="5">
        <v>17</v>
      </c>
      <c r="O50" s="5"/>
      <c r="P50" s="5"/>
      <c r="Q50" s="5">
        <f t="shared" si="2"/>
        <v>850</v>
      </c>
      <c r="R50" s="5">
        <v>0</v>
      </c>
      <c r="S50" s="5">
        <v>1</v>
      </c>
      <c r="T50" s="5" t="s">
        <v>283</v>
      </c>
      <c r="U50" s="5"/>
      <c r="V50" s="5"/>
      <c r="W50" s="5"/>
      <c r="X50" s="5" t="s">
        <v>217</v>
      </c>
      <c r="Y50" s="10" t="s">
        <v>69</v>
      </c>
      <c r="Z50" s="5" t="s">
        <v>480</v>
      </c>
      <c r="AA50" t="e">
        <f>COUNTIF([1]Sheet1!#REF!, "*"&amp; A50&amp;"*")</f>
        <v>#REF!</v>
      </c>
    </row>
    <row r="51" spans="1:27" x14ac:dyDescent="0.2">
      <c r="A51" s="5">
        <v>102034</v>
      </c>
      <c r="B51" s="5" t="s">
        <v>201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725</v>
      </c>
      <c r="M51" s="5">
        <v>10</v>
      </c>
      <c r="N51" s="5">
        <v>17</v>
      </c>
      <c r="O51" s="5"/>
      <c r="P51" s="5"/>
      <c r="Q51" s="5">
        <f t="shared" ref="Q51:Q86" si="3">MAX(25, INT(POWER(2.2,J51/45)))</f>
        <v>444</v>
      </c>
      <c r="R51" s="5">
        <v>0</v>
      </c>
      <c r="S51" s="5">
        <v>1</v>
      </c>
      <c r="T51" s="5" t="s">
        <v>285</v>
      </c>
      <c r="U51" s="5"/>
      <c r="V51" s="5" t="s">
        <v>364</v>
      </c>
      <c r="W51" s="5"/>
      <c r="X51" s="5" t="s">
        <v>311</v>
      </c>
      <c r="Y51" s="10" t="s">
        <v>69</v>
      </c>
      <c r="Z51" s="5" t="s">
        <v>481</v>
      </c>
      <c r="AA51" t="e">
        <f>COUNTIF([1]Sheet1!#REF!, "*"&amp; A51&amp;"*")</f>
        <v>#REF!</v>
      </c>
    </row>
    <row r="52" spans="1:27" x14ac:dyDescent="0.2">
      <c r="A52" s="5">
        <v>102035</v>
      </c>
      <c r="B52" s="5" t="s">
        <v>202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723</v>
      </c>
      <c r="M52" s="5">
        <v>10</v>
      </c>
      <c r="N52" s="5">
        <v>17</v>
      </c>
      <c r="O52">
        <v>36</v>
      </c>
      <c r="P52" s="5"/>
      <c r="Q52" s="5">
        <f t="shared" si="3"/>
        <v>429</v>
      </c>
      <c r="R52" s="5">
        <v>0</v>
      </c>
      <c r="S52" s="5">
        <v>3</v>
      </c>
      <c r="T52" s="5" t="s">
        <v>290</v>
      </c>
      <c r="U52" s="5"/>
      <c r="V52" s="5" t="s">
        <v>319</v>
      </c>
      <c r="W52" s="5"/>
      <c r="X52" s="5" t="s">
        <v>192</v>
      </c>
      <c r="Y52" s="10" t="s">
        <v>332</v>
      </c>
      <c r="Z52" s="5" t="s">
        <v>482</v>
      </c>
    </row>
    <row r="53" spans="1:27" x14ac:dyDescent="0.2">
      <c r="A53" s="5">
        <v>102036</v>
      </c>
      <c r="B53" s="5" t="s">
        <v>704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729</v>
      </c>
      <c r="M53" s="5">
        <v>10</v>
      </c>
      <c r="N53" s="5">
        <v>17</v>
      </c>
      <c r="O53" s="5"/>
      <c r="P53" s="5"/>
      <c r="Q53" s="5">
        <f t="shared" si="3"/>
        <v>850</v>
      </c>
      <c r="R53" s="5">
        <v>0</v>
      </c>
      <c r="S53" s="5">
        <v>1</v>
      </c>
      <c r="T53" s="5" t="s">
        <v>989</v>
      </c>
      <c r="U53" s="5"/>
      <c r="V53" s="5"/>
      <c r="W53" s="5"/>
      <c r="X53" s="5" t="s">
        <v>183</v>
      </c>
      <c r="Y53" s="10" t="s">
        <v>335</v>
      </c>
      <c r="Z53" s="5" t="s">
        <v>758</v>
      </c>
    </row>
    <row r="54" spans="1:27" x14ac:dyDescent="0.2">
      <c r="A54" s="5">
        <v>102037</v>
      </c>
      <c r="B54" s="5" t="s">
        <v>705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724</v>
      </c>
      <c r="M54" s="5">
        <v>10</v>
      </c>
      <c r="N54" s="5">
        <v>17</v>
      </c>
      <c r="O54" s="5"/>
      <c r="P54" s="5"/>
      <c r="Q54" s="5">
        <f t="shared" si="3"/>
        <v>249</v>
      </c>
      <c r="R54" s="5">
        <v>0</v>
      </c>
      <c r="S54" s="5">
        <v>1</v>
      </c>
      <c r="T54" s="5" t="s">
        <v>989</v>
      </c>
      <c r="U54" s="5"/>
      <c r="V54" s="5"/>
      <c r="W54" s="5"/>
      <c r="X54" s="5" t="s">
        <v>183</v>
      </c>
      <c r="Y54" s="10" t="s">
        <v>335</v>
      </c>
      <c r="Z54" s="5" t="s">
        <v>759</v>
      </c>
    </row>
    <row r="55" spans="1:27" x14ac:dyDescent="0.2">
      <c r="A55" s="5">
        <v>102038</v>
      </c>
      <c r="B55" s="5" t="s">
        <v>706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727</v>
      </c>
      <c r="M55" s="5">
        <v>10</v>
      </c>
      <c r="N55" s="5">
        <v>17</v>
      </c>
      <c r="O55" s="5"/>
      <c r="P55" s="5"/>
      <c r="Q55" s="5">
        <f t="shared" si="3"/>
        <v>620</v>
      </c>
      <c r="R55" s="5">
        <v>0</v>
      </c>
      <c r="S55" s="5">
        <v>1</v>
      </c>
      <c r="T55" s="5" t="s">
        <v>989</v>
      </c>
      <c r="U55" s="5"/>
      <c r="V55" s="5"/>
      <c r="W55" s="5"/>
      <c r="X55" s="5" t="s">
        <v>183</v>
      </c>
      <c r="Y55" s="10" t="s">
        <v>335</v>
      </c>
      <c r="Z55" s="5" t="s">
        <v>760</v>
      </c>
    </row>
    <row r="56" spans="1:27" x14ac:dyDescent="0.2">
      <c r="A56" s="5">
        <v>102039</v>
      </c>
      <c r="B56" s="5" t="s">
        <v>952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729</v>
      </c>
      <c r="M56" s="5">
        <v>10</v>
      </c>
      <c r="N56" s="5">
        <v>17</v>
      </c>
      <c r="O56" s="5"/>
      <c r="P56" s="5"/>
      <c r="Q56" s="5">
        <f t="shared" si="3"/>
        <v>821</v>
      </c>
      <c r="R56" s="5">
        <v>0</v>
      </c>
      <c r="S56" s="5">
        <v>1</v>
      </c>
      <c r="T56" s="5" t="s">
        <v>989</v>
      </c>
      <c r="U56" s="5"/>
      <c r="V56" s="5"/>
      <c r="W56" s="5"/>
      <c r="X56" s="5" t="s">
        <v>183</v>
      </c>
      <c r="Y56" s="10" t="s">
        <v>335</v>
      </c>
      <c r="Z56" s="5" t="s">
        <v>761</v>
      </c>
    </row>
    <row r="57" spans="1:27" x14ac:dyDescent="0.2">
      <c r="A57" s="5">
        <v>102040</v>
      </c>
      <c r="B57" s="5" t="s">
        <v>707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723</v>
      </c>
      <c r="M57" s="5">
        <v>10</v>
      </c>
      <c r="N57" s="5">
        <v>17</v>
      </c>
      <c r="O57" s="5"/>
      <c r="P57" s="5"/>
      <c r="Q57" s="5">
        <f t="shared" si="3"/>
        <v>240</v>
      </c>
      <c r="R57" s="5">
        <v>0</v>
      </c>
      <c r="S57" s="5">
        <v>1</v>
      </c>
      <c r="T57" s="5" t="s">
        <v>989</v>
      </c>
      <c r="U57" s="5"/>
      <c r="V57" s="5"/>
      <c r="W57" s="5"/>
      <c r="X57" s="5" t="s">
        <v>183</v>
      </c>
      <c r="Y57" s="10" t="s">
        <v>335</v>
      </c>
      <c r="Z57" s="5" t="s">
        <v>762</v>
      </c>
    </row>
    <row r="58" spans="1:27" x14ac:dyDescent="0.2">
      <c r="A58" s="5">
        <v>102041</v>
      </c>
      <c r="B58" s="5" t="s">
        <v>708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728</v>
      </c>
      <c r="M58" s="5">
        <v>10</v>
      </c>
      <c r="N58" s="5">
        <v>17</v>
      </c>
      <c r="O58" s="5"/>
      <c r="P58" s="5"/>
      <c r="Q58" s="5">
        <f t="shared" si="3"/>
        <v>558</v>
      </c>
      <c r="R58" s="5">
        <v>0</v>
      </c>
      <c r="S58" s="5">
        <v>1</v>
      </c>
      <c r="T58" s="5" t="s">
        <v>989</v>
      </c>
      <c r="U58" s="5"/>
      <c r="V58" s="5"/>
      <c r="W58" s="5"/>
      <c r="X58" s="5" t="s">
        <v>183</v>
      </c>
      <c r="Y58" s="10" t="s">
        <v>335</v>
      </c>
      <c r="Z58" s="5" t="s">
        <v>763</v>
      </c>
    </row>
    <row r="59" spans="1:27" x14ac:dyDescent="0.2">
      <c r="A59" s="5">
        <v>102042</v>
      </c>
      <c r="B59" s="5" t="s">
        <v>709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726</v>
      </c>
      <c r="M59" s="5">
        <v>10</v>
      </c>
      <c r="N59" s="5">
        <v>17</v>
      </c>
      <c r="O59" s="5"/>
      <c r="P59" s="5"/>
      <c r="Q59" s="5">
        <f t="shared" si="3"/>
        <v>493</v>
      </c>
      <c r="R59" s="5">
        <v>0</v>
      </c>
      <c r="S59" s="5">
        <v>1</v>
      </c>
      <c r="T59" s="5" t="s">
        <v>989</v>
      </c>
      <c r="U59" s="5"/>
      <c r="V59" s="5"/>
      <c r="W59" s="5"/>
      <c r="X59" s="5" t="s">
        <v>183</v>
      </c>
      <c r="Y59" s="10" t="s">
        <v>335</v>
      </c>
      <c r="Z59" s="5" t="s">
        <v>764</v>
      </c>
    </row>
    <row r="60" spans="1:27" x14ac:dyDescent="0.2">
      <c r="A60" s="5">
        <v>102043</v>
      </c>
      <c r="B60" s="5" t="s">
        <v>765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726</v>
      </c>
      <c r="M60" s="5">
        <v>10</v>
      </c>
      <c r="N60" s="5">
        <v>17</v>
      </c>
      <c r="O60" s="5"/>
      <c r="P60" s="5"/>
      <c r="Q60" s="5">
        <f t="shared" si="3"/>
        <v>485</v>
      </c>
      <c r="R60" s="5">
        <v>0</v>
      </c>
      <c r="S60" s="5">
        <v>1</v>
      </c>
      <c r="T60" s="5" t="s">
        <v>989</v>
      </c>
      <c r="U60" s="5"/>
      <c r="V60" s="5"/>
      <c r="W60" s="5"/>
      <c r="X60" s="5" t="s">
        <v>183</v>
      </c>
      <c r="Y60" s="10" t="s">
        <v>335</v>
      </c>
      <c r="Z60" s="5" t="s">
        <v>766</v>
      </c>
    </row>
    <row r="61" spans="1:27" x14ac:dyDescent="0.2">
      <c r="A61" s="5">
        <v>102044</v>
      </c>
      <c r="B61" s="5" t="s">
        <v>710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728</v>
      </c>
      <c r="M61" s="5">
        <v>10</v>
      </c>
      <c r="N61" s="5">
        <v>17</v>
      </c>
      <c r="O61" s="5"/>
      <c r="P61" s="5"/>
      <c r="Q61" s="5">
        <f t="shared" si="3"/>
        <v>520</v>
      </c>
      <c r="R61" s="5">
        <v>0</v>
      </c>
      <c r="S61" s="5">
        <v>1</v>
      </c>
      <c r="T61" s="5" t="s">
        <v>989</v>
      </c>
      <c r="U61" s="5"/>
      <c r="V61" s="5"/>
      <c r="W61" s="5"/>
      <c r="X61" s="5" t="s">
        <v>183</v>
      </c>
      <c r="Y61" s="10" t="s">
        <v>335</v>
      </c>
      <c r="Z61" s="5" t="s">
        <v>767</v>
      </c>
    </row>
    <row r="62" spans="1:27" x14ac:dyDescent="0.2">
      <c r="A62" s="5">
        <v>102046</v>
      </c>
      <c r="B62" s="5" t="s">
        <v>768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725</v>
      </c>
      <c r="M62" s="5">
        <v>10</v>
      </c>
      <c r="N62" s="5">
        <v>17</v>
      </c>
      <c r="O62" s="5"/>
      <c r="P62" s="5"/>
      <c r="Q62" s="5">
        <f t="shared" si="3"/>
        <v>213</v>
      </c>
      <c r="R62" s="5">
        <v>0</v>
      </c>
      <c r="S62" s="5">
        <v>1</v>
      </c>
      <c r="T62" s="5" t="s">
        <v>989</v>
      </c>
      <c r="U62" s="5"/>
      <c r="V62" s="5"/>
      <c r="W62" s="5"/>
      <c r="X62" s="5" t="s">
        <v>183</v>
      </c>
      <c r="Y62" s="10" t="s">
        <v>335</v>
      </c>
      <c r="Z62" s="5" t="s">
        <v>769</v>
      </c>
    </row>
    <row r="63" spans="1:27" x14ac:dyDescent="0.2">
      <c r="A63" s="5">
        <v>102047</v>
      </c>
      <c r="B63" s="5" t="s">
        <v>711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725</v>
      </c>
      <c r="M63" s="5">
        <v>10</v>
      </c>
      <c r="N63" s="5">
        <v>17</v>
      </c>
      <c r="O63" s="5"/>
      <c r="P63" s="5"/>
      <c r="Q63" s="5">
        <f t="shared" si="3"/>
        <v>105</v>
      </c>
      <c r="R63" s="5">
        <v>0</v>
      </c>
      <c r="S63" s="5">
        <v>1</v>
      </c>
      <c r="T63" s="5" t="s">
        <v>989</v>
      </c>
      <c r="U63" s="5"/>
      <c r="V63" s="5"/>
      <c r="W63" s="5"/>
      <c r="X63" s="5" t="s">
        <v>183</v>
      </c>
      <c r="Y63" s="10" t="s">
        <v>335</v>
      </c>
      <c r="Z63" s="5" t="s">
        <v>770</v>
      </c>
    </row>
    <row r="64" spans="1:27" x14ac:dyDescent="0.2">
      <c r="A64" s="5">
        <v>102048</v>
      </c>
      <c r="B64" s="5" t="s">
        <v>953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725</v>
      </c>
      <c r="M64" s="5">
        <v>10</v>
      </c>
      <c r="N64" s="5">
        <v>17</v>
      </c>
      <c r="O64" s="5"/>
      <c r="P64" s="5"/>
      <c r="Q64" s="5">
        <f t="shared" si="3"/>
        <v>354</v>
      </c>
      <c r="R64" s="5">
        <v>0</v>
      </c>
      <c r="S64" s="5">
        <v>1</v>
      </c>
      <c r="T64" s="5" t="s">
        <v>989</v>
      </c>
      <c r="U64" s="5"/>
      <c r="V64" s="5"/>
      <c r="W64" s="5"/>
      <c r="X64" s="5" t="s">
        <v>183</v>
      </c>
      <c r="Y64" s="10" t="s">
        <v>335</v>
      </c>
      <c r="Z64" s="5" t="s">
        <v>771</v>
      </c>
    </row>
    <row r="65" spans="1:26" x14ac:dyDescent="0.2">
      <c r="A65" s="5">
        <v>102049</v>
      </c>
      <c r="B65" s="5" t="s">
        <v>954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725</v>
      </c>
      <c r="M65" s="5">
        <v>10</v>
      </c>
      <c r="N65" s="5">
        <v>17</v>
      </c>
      <c r="O65" s="5"/>
      <c r="P65" s="5"/>
      <c r="Q65" s="5">
        <f t="shared" si="3"/>
        <v>529</v>
      </c>
      <c r="R65" s="5">
        <v>0</v>
      </c>
      <c r="S65" s="5">
        <v>1</v>
      </c>
      <c r="T65" s="5" t="s">
        <v>989</v>
      </c>
      <c r="U65" s="5"/>
      <c r="V65" s="5"/>
      <c r="W65" s="5"/>
      <c r="X65" s="5" t="s">
        <v>183</v>
      </c>
      <c r="Y65" s="10" t="s">
        <v>335</v>
      </c>
      <c r="Z65" s="5" t="s">
        <v>772</v>
      </c>
    </row>
    <row r="66" spans="1:26" x14ac:dyDescent="0.2">
      <c r="A66" s="5">
        <v>102050</v>
      </c>
      <c r="B66" s="5" t="s">
        <v>712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725</v>
      </c>
      <c r="M66" s="5">
        <v>10</v>
      </c>
      <c r="N66" s="5">
        <v>17</v>
      </c>
      <c r="O66" s="5"/>
      <c r="P66" s="5"/>
      <c r="Q66" s="5">
        <f t="shared" si="3"/>
        <v>188</v>
      </c>
      <c r="R66" s="5">
        <v>0</v>
      </c>
      <c r="S66" s="5">
        <v>1</v>
      </c>
      <c r="T66" s="5" t="s">
        <v>989</v>
      </c>
      <c r="U66" s="5"/>
      <c r="V66" s="5"/>
      <c r="W66" s="5"/>
      <c r="X66" s="5" t="s">
        <v>183</v>
      </c>
      <c r="Y66" s="10" t="s">
        <v>335</v>
      </c>
      <c r="Z66" s="5" t="s">
        <v>773</v>
      </c>
    </row>
    <row r="67" spans="1:26" x14ac:dyDescent="0.2">
      <c r="A67" s="5">
        <v>102051</v>
      </c>
      <c r="B67" s="5" t="s">
        <v>713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728</v>
      </c>
      <c r="M67" s="5">
        <v>10</v>
      </c>
      <c r="N67" s="5">
        <v>17</v>
      </c>
      <c r="O67" s="5"/>
      <c r="P67" s="5"/>
      <c r="Q67" s="5">
        <f t="shared" si="3"/>
        <v>341</v>
      </c>
      <c r="R67" s="5">
        <v>0</v>
      </c>
      <c r="S67" s="5">
        <v>1</v>
      </c>
      <c r="T67" s="5" t="s">
        <v>989</v>
      </c>
      <c r="U67" s="5"/>
      <c r="V67" s="5"/>
      <c r="W67" s="5"/>
      <c r="X67" s="5" t="s">
        <v>183</v>
      </c>
      <c r="Y67" s="10" t="s">
        <v>335</v>
      </c>
      <c r="Z67" s="5" t="s">
        <v>774</v>
      </c>
    </row>
    <row r="68" spans="1:26" x14ac:dyDescent="0.2">
      <c r="A68" s="5">
        <v>102052</v>
      </c>
      <c r="B68" s="5" t="s">
        <v>955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728</v>
      </c>
      <c r="M68" s="5">
        <v>10</v>
      </c>
      <c r="N68" s="5">
        <v>17</v>
      </c>
      <c r="O68" s="5"/>
      <c r="P68" s="5"/>
      <c r="Q68" s="5">
        <f t="shared" si="3"/>
        <v>181</v>
      </c>
      <c r="R68" s="5">
        <v>0</v>
      </c>
      <c r="S68" s="5">
        <v>1</v>
      </c>
      <c r="T68" s="5" t="s">
        <v>989</v>
      </c>
      <c r="U68" s="5"/>
      <c r="V68" s="5"/>
      <c r="W68" s="5"/>
      <c r="X68" s="5" t="s">
        <v>183</v>
      </c>
      <c r="Y68" s="10" t="s">
        <v>335</v>
      </c>
      <c r="Z68" s="5" t="s">
        <v>775</v>
      </c>
    </row>
    <row r="69" spans="1:26" x14ac:dyDescent="0.2">
      <c r="A69" s="5">
        <v>102053</v>
      </c>
      <c r="B69" s="5" t="s">
        <v>714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724</v>
      </c>
      <c r="M69" s="5">
        <v>10</v>
      </c>
      <c r="N69" s="5">
        <v>17</v>
      </c>
      <c r="O69" s="5"/>
      <c r="P69" s="5"/>
      <c r="Q69" s="5">
        <f t="shared" si="3"/>
        <v>232</v>
      </c>
      <c r="R69" s="5">
        <v>0</v>
      </c>
      <c r="S69" s="5">
        <v>1</v>
      </c>
      <c r="T69" s="5" t="s">
        <v>989</v>
      </c>
      <c r="U69" s="5"/>
      <c r="V69" s="5"/>
      <c r="W69" s="5"/>
      <c r="X69" s="5" t="s">
        <v>183</v>
      </c>
      <c r="Y69" s="10" t="s">
        <v>335</v>
      </c>
      <c r="Z69" s="5" t="s">
        <v>776</v>
      </c>
    </row>
    <row r="70" spans="1:26" x14ac:dyDescent="0.2">
      <c r="A70" s="5">
        <v>102054</v>
      </c>
      <c r="B70" s="5" t="s">
        <v>956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724</v>
      </c>
      <c r="M70" s="5">
        <v>10</v>
      </c>
      <c r="N70" s="5">
        <v>17</v>
      </c>
      <c r="O70" s="5"/>
      <c r="P70" s="5"/>
      <c r="Q70" s="5">
        <f t="shared" si="3"/>
        <v>267</v>
      </c>
      <c r="R70" s="5">
        <v>0</v>
      </c>
      <c r="S70" s="5">
        <v>1</v>
      </c>
      <c r="T70" s="5" t="s">
        <v>989</v>
      </c>
      <c r="U70" s="5"/>
      <c r="V70" s="5"/>
      <c r="W70" s="5"/>
      <c r="X70" s="5" t="s">
        <v>183</v>
      </c>
      <c r="Y70" s="10" t="s">
        <v>335</v>
      </c>
      <c r="Z70" s="5" t="s">
        <v>777</v>
      </c>
    </row>
    <row r="71" spans="1:26" x14ac:dyDescent="0.2">
      <c r="A71" s="5">
        <v>102055</v>
      </c>
      <c r="B71" s="5" t="s">
        <v>957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726</v>
      </c>
      <c r="M71" s="5">
        <v>10</v>
      </c>
      <c r="N71" s="5">
        <v>17</v>
      </c>
      <c r="O71" s="5"/>
      <c r="P71" s="5"/>
      <c r="Q71" s="5">
        <f t="shared" si="3"/>
        <v>249</v>
      </c>
      <c r="R71" s="5">
        <v>0</v>
      </c>
      <c r="S71" s="5">
        <v>1</v>
      </c>
      <c r="T71" s="5" t="s">
        <v>989</v>
      </c>
      <c r="U71" s="5"/>
      <c r="V71" s="5"/>
      <c r="W71" s="5"/>
      <c r="X71" s="5" t="s">
        <v>183</v>
      </c>
      <c r="Y71" s="10" t="s">
        <v>335</v>
      </c>
      <c r="Z71" s="5" t="s">
        <v>778</v>
      </c>
    </row>
    <row r="72" spans="1:26" x14ac:dyDescent="0.2">
      <c r="A72" s="5">
        <v>102056</v>
      </c>
      <c r="B72" s="5" t="s">
        <v>715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723</v>
      </c>
      <c r="M72" s="5">
        <v>10</v>
      </c>
      <c r="N72" s="5">
        <v>17</v>
      </c>
      <c r="O72" s="5"/>
      <c r="P72" s="5"/>
      <c r="Q72" s="5">
        <f t="shared" si="3"/>
        <v>188</v>
      </c>
      <c r="R72" s="5">
        <v>0</v>
      </c>
      <c r="S72" s="5">
        <v>1</v>
      </c>
      <c r="T72" s="5" t="s">
        <v>989</v>
      </c>
      <c r="U72" s="5"/>
      <c r="V72" s="5"/>
      <c r="W72" s="5"/>
      <c r="X72" s="5" t="s">
        <v>183</v>
      </c>
      <c r="Y72" s="10" t="s">
        <v>335</v>
      </c>
      <c r="Z72" s="5" t="s">
        <v>779</v>
      </c>
    </row>
    <row r="73" spans="1:26" x14ac:dyDescent="0.2">
      <c r="A73" s="5">
        <v>102057</v>
      </c>
      <c r="B73" s="5" t="s">
        <v>716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724</v>
      </c>
      <c r="M73" s="5">
        <v>10</v>
      </c>
      <c r="N73" s="5">
        <v>17</v>
      </c>
      <c r="O73" s="5"/>
      <c r="P73" s="5"/>
      <c r="Q73" s="5">
        <f t="shared" si="3"/>
        <v>175</v>
      </c>
      <c r="R73" s="5">
        <v>0</v>
      </c>
      <c r="S73" s="5">
        <v>1</v>
      </c>
      <c r="T73" s="5" t="s">
        <v>989</v>
      </c>
      <c r="U73" s="5"/>
      <c r="V73" s="5"/>
      <c r="W73" s="5"/>
      <c r="X73" s="5" t="s">
        <v>183</v>
      </c>
      <c r="Y73" s="10" t="s">
        <v>335</v>
      </c>
      <c r="Z73" s="5" t="s">
        <v>780</v>
      </c>
    </row>
    <row r="74" spans="1:26" x14ac:dyDescent="0.2">
      <c r="A74" s="5">
        <v>102058</v>
      </c>
      <c r="B74" s="5" t="s">
        <v>912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725</v>
      </c>
      <c r="M74" s="5">
        <v>10</v>
      </c>
      <c r="N74" s="5">
        <v>17</v>
      </c>
      <c r="O74" s="5"/>
      <c r="P74" s="5"/>
      <c r="Q74" s="5">
        <f t="shared" si="3"/>
        <v>59</v>
      </c>
      <c r="R74" s="5">
        <v>0</v>
      </c>
      <c r="S74" s="5">
        <v>1</v>
      </c>
      <c r="T74" s="5" t="s">
        <v>989</v>
      </c>
      <c r="U74" s="5"/>
      <c r="V74" s="5"/>
      <c r="W74" s="5"/>
      <c r="X74" s="5" t="s">
        <v>183</v>
      </c>
      <c r="Y74" s="10" t="s">
        <v>335</v>
      </c>
      <c r="Z74" s="5" t="s">
        <v>913</v>
      </c>
    </row>
    <row r="75" spans="1:26" x14ac:dyDescent="0.2">
      <c r="A75" s="5">
        <v>102059</v>
      </c>
      <c r="B75" s="5" t="s">
        <v>717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724</v>
      </c>
      <c r="M75" s="5">
        <v>10</v>
      </c>
      <c r="N75" s="5">
        <v>17</v>
      </c>
      <c r="O75" s="5"/>
      <c r="P75" s="5"/>
      <c r="Q75" s="5">
        <f t="shared" si="3"/>
        <v>45</v>
      </c>
      <c r="R75" s="5">
        <v>0</v>
      </c>
      <c r="S75" s="5">
        <v>1</v>
      </c>
      <c r="T75" s="5" t="s">
        <v>989</v>
      </c>
      <c r="U75" s="5"/>
      <c r="V75" s="5"/>
      <c r="W75" s="5"/>
      <c r="X75" s="5" t="s">
        <v>183</v>
      </c>
      <c r="Y75" s="10" t="s">
        <v>335</v>
      </c>
      <c r="Z75" s="5" t="s">
        <v>781</v>
      </c>
    </row>
    <row r="76" spans="1:26" x14ac:dyDescent="0.2">
      <c r="A76" s="5">
        <v>102060</v>
      </c>
      <c r="B76" s="5" t="s">
        <v>718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726</v>
      </c>
      <c r="M76" s="5">
        <v>10</v>
      </c>
      <c r="N76" s="5">
        <v>17</v>
      </c>
      <c r="O76" s="5"/>
      <c r="P76" s="5"/>
      <c r="Q76" s="5">
        <f t="shared" si="3"/>
        <v>172</v>
      </c>
      <c r="R76" s="5">
        <v>0</v>
      </c>
      <c r="S76" s="5">
        <v>1</v>
      </c>
      <c r="T76" s="5" t="s">
        <v>989</v>
      </c>
      <c r="U76" s="5"/>
      <c r="V76" s="5"/>
      <c r="W76" s="5"/>
      <c r="X76" s="5" t="s">
        <v>183</v>
      </c>
      <c r="Y76" s="10" t="s">
        <v>335</v>
      </c>
      <c r="Z76" s="5" t="s">
        <v>782</v>
      </c>
    </row>
    <row r="77" spans="1:26" x14ac:dyDescent="0.2">
      <c r="A77" s="5">
        <v>102061</v>
      </c>
      <c r="B77" s="5" t="s">
        <v>958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723</v>
      </c>
      <c r="M77" s="5">
        <v>10</v>
      </c>
      <c r="N77" s="5">
        <v>17</v>
      </c>
      <c r="O77" s="5"/>
      <c r="P77" s="5"/>
      <c r="Q77" s="5">
        <f t="shared" si="3"/>
        <v>175</v>
      </c>
      <c r="R77" s="5">
        <v>0</v>
      </c>
      <c r="S77" s="5">
        <v>1</v>
      </c>
      <c r="T77" s="5" t="s">
        <v>989</v>
      </c>
      <c r="U77" s="5"/>
      <c r="V77" s="5"/>
      <c r="W77" s="5"/>
      <c r="X77" s="5" t="s">
        <v>183</v>
      </c>
      <c r="Y77" s="10" t="s">
        <v>335</v>
      </c>
      <c r="Z77" s="5" t="s">
        <v>783</v>
      </c>
    </row>
    <row r="78" spans="1:26" x14ac:dyDescent="0.2">
      <c r="A78" s="5">
        <v>102063</v>
      </c>
      <c r="B78" s="5" t="s">
        <v>914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728</v>
      </c>
      <c r="M78" s="5">
        <v>10</v>
      </c>
      <c r="N78" s="5">
        <v>17</v>
      </c>
      <c r="O78" s="5"/>
      <c r="P78" s="5"/>
      <c r="Q78" s="5">
        <f t="shared" si="3"/>
        <v>130</v>
      </c>
      <c r="R78" s="5">
        <v>0</v>
      </c>
      <c r="S78" s="5">
        <v>1</v>
      </c>
      <c r="T78" s="5" t="s">
        <v>989</v>
      </c>
      <c r="U78" s="5"/>
      <c r="V78" s="5"/>
      <c r="W78" s="5"/>
      <c r="X78" s="5" t="s">
        <v>183</v>
      </c>
      <c r="Y78" s="10" t="s">
        <v>335</v>
      </c>
      <c r="Z78" s="5" t="s">
        <v>919</v>
      </c>
    </row>
    <row r="79" spans="1:26" x14ac:dyDescent="0.2">
      <c r="A79" s="5">
        <v>102065</v>
      </c>
      <c r="B79" s="5" t="s">
        <v>719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729</v>
      </c>
      <c r="M79" s="5">
        <v>10</v>
      </c>
      <c r="N79" s="5">
        <v>17</v>
      </c>
      <c r="O79" s="5"/>
      <c r="P79" s="5"/>
      <c r="Q79" s="5">
        <f t="shared" si="3"/>
        <v>68</v>
      </c>
      <c r="R79" s="5">
        <v>0</v>
      </c>
      <c r="S79" s="5">
        <v>1</v>
      </c>
      <c r="T79" s="5" t="s">
        <v>989</v>
      </c>
      <c r="U79" s="5"/>
      <c r="V79" s="5"/>
      <c r="W79" s="5"/>
      <c r="X79" s="5" t="s">
        <v>183</v>
      </c>
      <c r="Y79" s="10" t="s">
        <v>335</v>
      </c>
      <c r="Z79" s="5" t="s">
        <v>784</v>
      </c>
    </row>
    <row r="80" spans="1:26" x14ac:dyDescent="0.2">
      <c r="A80" s="5">
        <v>102066</v>
      </c>
      <c r="B80" s="5" t="s">
        <v>720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725</v>
      </c>
      <c r="M80" s="5">
        <v>10</v>
      </c>
      <c r="N80" s="5">
        <v>17</v>
      </c>
      <c r="O80" s="5"/>
      <c r="P80" s="5"/>
      <c r="Q80" s="5">
        <f t="shared" si="3"/>
        <v>128</v>
      </c>
      <c r="R80" s="5">
        <v>0</v>
      </c>
      <c r="S80" s="5">
        <v>1</v>
      </c>
      <c r="T80" s="5" t="s">
        <v>989</v>
      </c>
      <c r="U80" s="5"/>
      <c r="V80" s="5"/>
      <c r="W80" s="5"/>
      <c r="X80" s="5" t="s">
        <v>183</v>
      </c>
      <c r="Y80" s="10" t="s">
        <v>335</v>
      </c>
      <c r="Z80" s="5" t="s">
        <v>785</v>
      </c>
    </row>
    <row r="81" spans="1:27" x14ac:dyDescent="0.2">
      <c r="A81" s="5">
        <v>102067</v>
      </c>
      <c r="B81" s="5" t="s">
        <v>915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725</v>
      </c>
      <c r="M81" s="5">
        <v>10</v>
      </c>
      <c r="N81" s="5">
        <v>17</v>
      </c>
      <c r="O81" s="5"/>
      <c r="P81" s="5"/>
      <c r="Q81" s="5">
        <f t="shared" si="3"/>
        <v>54</v>
      </c>
      <c r="R81" s="5">
        <v>0</v>
      </c>
      <c r="S81" s="5">
        <v>1</v>
      </c>
      <c r="T81" s="5" t="s">
        <v>989</v>
      </c>
      <c r="U81" s="5"/>
      <c r="V81" s="5"/>
      <c r="W81" s="5"/>
      <c r="X81" s="5" t="s">
        <v>183</v>
      </c>
      <c r="Y81" s="10" t="s">
        <v>335</v>
      </c>
      <c r="Z81" s="5" t="s">
        <v>916</v>
      </c>
    </row>
    <row r="82" spans="1:27" x14ac:dyDescent="0.2">
      <c r="A82" s="5">
        <v>102068</v>
      </c>
      <c r="B82" s="5" t="s">
        <v>721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727</v>
      </c>
      <c r="M82" s="5">
        <v>10</v>
      </c>
      <c r="N82" s="5">
        <v>17</v>
      </c>
      <c r="O82" s="5"/>
      <c r="P82" s="5"/>
      <c r="Q82" s="5">
        <f t="shared" si="3"/>
        <v>95</v>
      </c>
      <c r="R82" s="5">
        <v>0</v>
      </c>
      <c r="S82" s="5">
        <v>1</v>
      </c>
      <c r="T82" s="5" t="s">
        <v>989</v>
      </c>
      <c r="U82" s="5"/>
      <c r="V82" s="5"/>
      <c r="W82" s="5"/>
      <c r="X82" s="5" t="s">
        <v>183</v>
      </c>
      <c r="Y82" s="10" t="s">
        <v>335</v>
      </c>
      <c r="Z82" s="5" t="s">
        <v>786</v>
      </c>
    </row>
    <row r="83" spans="1:27" x14ac:dyDescent="0.2">
      <c r="A83" s="5">
        <v>102070</v>
      </c>
      <c r="B83" s="5" t="s">
        <v>917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724</v>
      </c>
      <c r="M83" s="5">
        <v>10</v>
      </c>
      <c r="N83" s="5">
        <v>17</v>
      </c>
      <c r="O83" s="5"/>
      <c r="P83" s="5"/>
      <c r="Q83" s="5">
        <f t="shared" si="3"/>
        <v>185</v>
      </c>
      <c r="R83" s="5">
        <v>0</v>
      </c>
      <c r="S83" s="5">
        <v>1</v>
      </c>
      <c r="T83" s="5" t="s">
        <v>989</v>
      </c>
      <c r="U83" s="5"/>
      <c r="V83" s="5"/>
      <c r="W83" s="5"/>
      <c r="X83" s="5" t="s">
        <v>183</v>
      </c>
      <c r="Y83" s="10" t="s">
        <v>335</v>
      </c>
      <c r="Z83" s="5" t="s">
        <v>918</v>
      </c>
    </row>
    <row r="84" spans="1:27" x14ac:dyDescent="0.2">
      <c r="A84" s="5">
        <v>102071</v>
      </c>
      <c r="B84" s="5" t="s">
        <v>925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727</v>
      </c>
      <c r="M84" s="5">
        <v>10</v>
      </c>
      <c r="N84" s="5">
        <v>17</v>
      </c>
      <c r="O84" s="5"/>
      <c r="P84" s="5"/>
      <c r="Q84" s="5">
        <f t="shared" si="3"/>
        <v>37</v>
      </c>
      <c r="R84" s="5">
        <v>0</v>
      </c>
      <c r="S84" s="5">
        <v>1</v>
      </c>
      <c r="T84" s="5" t="s">
        <v>989</v>
      </c>
      <c r="U84" s="5"/>
      <c r="V84" s="5"/>
      <c r="W84" s="5"/>
      <c r="X84" s="5" t="s">
        <v>183</v>
      </c>
      <c r="Y84" s="10" t="s">
        <v>335</v>
      </c>
      <c r="Z84" s="5" t="s">
        <v>926</v>
      </c>
    </row>
    <row r="85" spans="1:27" x14ac:dyDescent="0.2">
      <c r="A85" s="5">
        <v>102072</v>
      </c>
      <c r="B85" s="5" t="s">
        <v>910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724</v>
      </c>
      <c r="M85" s="5">
        <v>10</v>
      </c>
      <c r="N85" s="5">
        <v>17</v>
      </c>
      <c r="O85" s="5"/>
      <c r="P85" s="5"/>
      <c r="Q85" s="5">
        <f t="shared" si="3"/>
        <v>69</v>
      </c>
      <c r="R85" s="5">
        <v>0</v>
      </c>
      <c r="S85" s="5">
        <v>1</v>
      </c>
      <c r="T85" s="5" t="s">
        <v>989</v>
      </c>
      <c r="U85" s="5"/>
      <c r="V85" s="5"/>
      <c r="W85" s="5"/>
      <c r="X85" s="5" t="s">
        <v>183</v>
      </c>
      <c r="Y85" s="10" t="s">
        <v>335</v>
      </c>
      <c r="Z85" s="5" t="s">
        <v>920</v>
      </c>
    </row>
    <row r="86" spans="1:27" x14ac:dyDescent="0.2">
      <c r="A86" s="5">
        <v>102073</v>
      </c>
      <c r="B86" s="5" t="s">
        <v>722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724</v>
      </c>
      <c r="M86" s="5">
        <v>10</v>
      </c>
      <c r="N86" s="5">
        <v>17</v>
      </c>
      <c r="O86" s="5"/>
      <c r="P86" s="5"/>
      <c r="Q86" s="5">
        <f t="shared" si="3"/>
        <v>28</v>
      </c>
      <c r="R86" s="5">
        <v>0</v>
      </c>
      <c r="S86" s="5">
        <v>1</v>
      </c>
      <c r="T86" s="5" t="s">
        <v>989</v>
      </c>
      <c r="U86" s="5"/>
      <c r="V86" s="5"/>
      <c r="W86" s="5"/>
      <c r="X86" s="5" t="s">
        <v>183</v>
      </c>
      <c r="Y86" s="10" t="s">
        <v>335</v>
      </c>
      <c r="Z86" s="5" t="s">
        <v>855</v>
      </c>
    </row>
    <row r="87" spans="1:27" x14ac:dyDescent="0.2">
      <c r="A87" s="13">
        <v>100003</v>
      </c>
      <c r="B87" s="13" t="s">
        <v>100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743</v>
      </c>
      <c r="M87" s="5">
        <v>10</v>
      </c>
      <c r="N87" s="5">
        <v>17</v>
      </c>
      <c r="O87" s="5"/>
      <c r="P87" s="5"/>
      <c r="Q87" s="5">
        <v>0</v>
      </c>
      <c r="R87" s="5">
        <v>100</v>
      </c>
      <c r="S87" s="5">
        <v>1</v>
      </c>
      <c r="T87" s="5" t="s">
        <v>282</v>
      </c>
      <c r="U87" s="5"/>
      <c r="V87" s="5" t="s">
        <v>373</v>
      </c>
      <c r="W87" s="5"/>
      <c r="X87" s="5" t="s">
        <v>182</v>
      </c>
      <c r="Y87" s="11" t="s">
        <v>69</v>
      </c>
      <c r="Z87" s="5" t="s">
        <v>403</v>
      </c>
    </row>
    <row r="88" spans="1:27" x14ac:dyDescent="0.2">
      <c r="A88" s="5">
        <v>103001</v>
      </c>
      <c r="B88" s="5" t="s">
        <v>226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746</v>
      </c>
      <c r="M88" s="5">
        <v>10</v>
      </c>
      <c r="N88" s="5">
        <v>17</v>
      </c>
      <c r="O88">
        <v>40</v>
      </c>
      <c r="P88" s="5">
        <v>5</v>
      </c>
      <c r="Q88" s="5">
        <f t="shared" ref="Q88:Q119" si="5">MAX(25, INT(POWER(2.2,J88/45)))</f>
        <v>379</v>
      </c>
      <c r="R88" s="5">
        <v>0</v>
      </c>
      <c r="S88" s="5">
        <v>3</v>
      </c>
      <c r="T88" s="5" t="s">
        <v>292</v>
      </c>
      <c r="U88" s="5"/>
      <c r="V88" s="5" t="s">
        <v>266</v>
      </c>
      <c r="W88" s="5"/>
      <c r="X88" s="5" t="s">
        <v>185</v>
      </c>
      <c r="Y88" s="10" t="s">
        <v>164</v>
      </c>
      <c r="Z88" s="5" t="s">
        <v>490</v>
      </c>
      <c r="AA88" t="e">
        <f>COUNTIF([1]Sheet1!#REF!, "*"&amp; A88&amp;"*")</f>
        <v>#REF!</v>
      </c>
    </row>
    <row r="89" spans="1:27" x14ac:dyDescent="0.2">
      <c r="A89" s="5">
        <v>103002</v>
      </c>
      <c r="B89" s="5" t="s">
        <v>101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743</v>
      </c>
      <c r="M89" s="5">
        <v>10</v>
      </c>
      <c r="N89" s="5">
        <v>17</v>
      </c>
      <c r="O89">
        <v>40</v>
      </c>
      <c r="P89" s="5">
        <v>5</v>
      </c>
      <c r="Q89" s="5">
        <f t="shared" si="5"/>
        <v>792</v>
      </c>
      <c r="R89" s="5">
        <v>0</v>
      </c>
      <c r="S89" s="5">
        <v>3</v>
      </c>
      <c r="T89" s="5" t="s">
        <v>292</v>
      </c>
      <c r="U89" s="5"/>
      <c r="V89" s="5" t="s">
        <v>264</v>
      </c>
      <c r="W89" s="5"/>
      <c r="X89" s="5" t="s">
        <v>185</v>
      </c>
      <c r="Y89" s="10" t="s">
        <v>164</v>
      </c>
      <c r="Z89" s="5" t="s">
        <v>491</v>
      </c>
      <c r="AA89" t="e">
        <f>COUNTIF([1]Sheet1!#REF!, "*"&amp; A89&amp;"*")</f>
        <v>#REF!</v>
      </c>
    </row>
    <row r="90" spans="1:27" x14ac:dyDescent="0.2">
      <c r="A90" s="5">
        <v>103003</v>
      </c>
      <c r="B90" s="5" t="s">
        <v>102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747</v>
      </c>
      <c r="M90" s="5">
        <v>10</v>
      </c>
      <c r="N90" s="5">
        <v>17</v>
      </c>
      <c r="O90" s="5"/>
      <c r="P90" s="5"/>
      <c r="Q90" s="5">
        <f t="shared" si="5"/>
        <v>677</v>
      </c>
      <c r="R90" s="5">
        <v>0</v>
      </c>
      <c r="S90" s="5">
        <v>1</v>
      </c>
      <c r="T90" s="5" t="s">
        <v>283</v>
      </c>
      <c r="U90" s="5"/>
      <c r="V90" s="5" t="s">
        <v>327</v>
      </c>
      <c r="W90" s="5"/>
      <c r="X90" s="5" t="s">
        <v>183</v>
      </c>
      <c r="Y90" s="10" t="s">
        <v>69</v>
      </c>
      <c r="Z90" s="5" t="s">
        <v>492</v>
      </c>
      <c r="AA90" t="e">
        <f>COUNTIF([1]Sheet1!#REF!, "*"&amp; A90&amp;"*")</f>
        <v>#REF!</v>
      </c>
    </row>
    <row r="91" spans="1:27" x14ac:dyDescent="0.2">
      <c r="A91" s="5">
        <v>103004</v>
      </c>
      <c r="B91" s="5" t="s">
        <v>103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746</v>
      </c>
      <c r="M91" s="5">
        <v>10</v>
      </c>
      <c r="N91" s="5">
        <v>17</v>
      </c>
      <c r="O91" s="5"/>
      <c r="P91" s="5"/>
      <c r="Q91" s="5">
        <f t="shared" si="5"/>
        <v>240</v>
      </c>
      <c r="R91" s="5">
        <v>0</v>
      </c>
      <c r="S91" s="5">
        <v>1</v>
      </c>
      <c r="T91" s="5" t="s">
        <v>286</v>
      </c>
      <c r="U91" s="5"/>
      <c r="V91" s="5" t="s">
        <v>352</v>
      </c>
      <c r="W91" s="5"/>
      <c r="X91" s="5" t="s">
        <v>187</v>
      </c>
      <c r="Y91" s="10" t="s">
        <v>69</v>
      </c>
      <c r="Z91" s="5" t="s">
        <v>493</v>
      </c>
      <c r="AA91" t="e">
        <f>COUNTIF([1]Sheet1!#REF!, "*"&amp; A91&amp;"*")</f>
        <v>#REF!</v>
      </c>
    </row>
    <row r="92" spans="1:27" x14ac:dyDescent="0.2">
      <c r="A92" s="5">
        <v>103005</v>
      </c>
      <c r="B92" s="5" t="s">
        <v>104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742</v>
      </c>
      <c r="M92" s="5">
        <v>10</v>
      </c>
      <c r="N92" s="5">
        <v>17</v>
      </c>
      <c r="O92">
        <v>36</v>
      </c>
      <c r="P92" s="5"/>
      <c r="Q92" s="5">
        <f t="shared" si="5"/>
        <v>1294</v>
      </c>
      <c r="R92" s="5">
        <v>0</v>
      </c>
      <c r="S92" s="5">
        <v>3</v>
      </c>
      <c r="T92" s="5" t="s">
        <v>290</v>
      </c>
      <c r="U92" s="5"/>
      <c r="V92" s="5" t="s">
        <v>267</v>
      </c>
      <c r="W92" s="5" t="s">
        <v>371</v>
      </c>
      <c r="X92" s="5" t="s">
        <v>192</v>
      </c>
      <c r="Y92" s="10" t="s">
        <v>332</v>
      </c>
      <c r="Z92" s="5" t="s">
        <v>494</v>
      </c>
      <c r="AA92" t="e">
        <f>COUNTIF([1]Sheet1!#REF!, "*"&amp; A92&amp;"*")</f>
        <v>#REF!</v>
      </c>
    </row>
    <row r="93" spans="1:27" x14ac:dyDescent="0.2">
      <c r="A93" s="5">
        <v>103006</v>
      </c>
      <c r="B93" s="5" t="s">
        <v>105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742</v>
      </c>
      <c r="M93" s="5">
        <v>10</v>
      </c>
      <c r="N93" s="5">
        <v>17</v>
      </c>
      <c r="O93">
        <v>30</v>
      </c>
      <c r="P93" s="5"/>
      <c r="Q93" s="5">
        <f t="shared" si="5"/>
        <v>2308</v>
      </c>
      <c r="R93" s="5">
        <v>0</v>
      </c>
      <c r="S93" s="5">
        <v>3</v>
      </c>
      <c r="T93" s="5" t="s">
        <v>289</v>
      </c>
      <c r="U93" s="5"/>
      <c r="V93" s="5" t="s">
        <v>274</v>
      </c>
      <c r="W93" s="5" t="s">
        <v>386</v>
      </c>
      <c r="X93" s="5" t="s">
        <v>186</v>
      </c>
      <c r="Y93" s="10" t="s">
        <v>160</v>
      </c>
      <c r="Z93" s="5" t="s">
        <v>495</v>
      </c>
      <c r="AA93" t="e">
        <f>COUNTIF([1]Sheet1!#REF!, "*"&amp; A93&amp;"*")</f>
        <v>#REF!</v>
      </c>
    </row>
    <row r="94" spans="1:27" x14ac:dyDescent="0.2">
      <c r="A94" s="5">
        <v>103007</v>
      </c>
      <c r="B94" s="5" t="s">
        <v>107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747</v>
      </c>
      <c r="M94" s="5">
        <v>10</v>
      </c>
      <c r="N94" s="5">
        <v>17</v>
      </c>
      <c r="O94" s="5"/>
      <c r="P94" s="5"/>
      <c r="Q94" s="5">
        <f t="shared" si="5"/>
        <v>318</v>
      </c>
      <c r="R94" s="5">
        <v>0</v>
      </c>
      <c r="S94" s="5">
        <v>1</v>
      </c>
      <c r="T94" s="5" t="s">
        <v>285</v>
      </c>
      <c r="U94" s="5"/>
      <c r="V94" s="5"/>
      <c r="W94" s="5"/>
      <c r="X94" s="5" t="s">
        <v>184</v>
      </c>
      <c r="Y94" s="10" t="s">
        <v>69</v>
      </c>
      <c r="Z94" s="5" t="s">
        <v>496</v>
      </c>
      <c r="AA94" t="e">
        <f>COUNTIF([1]Sheet1!#REF!, "*"&amp; A94&amp;"*")</f>
        <v>#REF!</v>
      </c>
    </row>
    <row r="95" spans="1:27" x14ac:dyDescent="0.2">
      <c r="A95" s="5">
        <v>103008</v>
      </c>
      <c r="B95" s="5" t="s">
        <v>236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742</v>
      </c>
      <c r="M95" s="5">
        <v>10</v>
      </c>
      <c r="N95" s="5">
        <v>17</v>
      </c>
      <c r="O95" s="5"/>
      <c r="P95" s="5"/>
      <c r="Q95" s="5">
        <f t="shared" si="5"/>
        <v>1364</v>
      </c>
      <c r="R95" s="5">
        <v>0</v>
      </c>
      <c r="S95" s="5">
        <v>1</v>
      </c>
      <c r="T95" s="5" t="s">
        <v>296</v>
      </c>
      <c r="U95" s="5"/>
      <c r="V95" s="5" t="s">
        <v>275</v>
      </c>
      <c r="W95" s="5" t="s">
        <v>382</v>
      </c>
      <c r="X95" s="5" t="s">
        <v>190</v>
      </c>
      <c r="Y95" s="10" t="s">
        <v>69</v>
      </c>
      <c r="Z95" s="5" t="s">
        <v>497</v>
      </c>
      <c r="AA95" t="e">
        <f>COUNTIF([1]Sheet1!#REF!, "*"&amp; A95&amp;"*")</f>
        <v>#REF!</v>
      </c>
    </row>
    <row r="96" spans="1:27" x14ac:dyDescent="0.2">
      <c r="A96" s="5">
        <v>103009</v>
      </c>
      <c r="B96" s="5" t="s">
        <v>109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743</v>
      </c>
      <c r="M96" s="5">
        <v>10</v>
      </c>
      <c r="N96" s="5">
        <v>17</v>
      </c>
      <c r="O96">
        <v>30</v>
      </c>
      <c r="P96" s="5"/>
      <c r="Q96" s="5">
        <f t="shared" si="5"/>
        <v>2006</v>
      </c>
      <c r="R96" s="5">
        <v>0</v>
      </c>
      <c r="S96" s="5">
        <v>3</v>
      </c>
      <c r="T96" s="5" t="s">
        <v>289</v>
      </c>
      <c r="U96" s="5"/>
      <c r="V96" s="5" t="s">
        <v>274</v>
      </c>
      <c r="W96" s="5"/>
      <c r="X96" s="5" t="s">
        <v>186</v>
      </c>
      <c r="Y96" s="10" t="s">
        <v>168</v>
      </c>
      <c r="Z96" s="5" t="s">
        <v>498</v>
      </c>
      <c r="AA96" t="e">
        <f>COUNTIF([1]Sheet1!#REF!, "*"&amp; A96&amp;"*")</f>
        <v>#REF!</v>
      </c>
    </row>
    <row r="97" spans="1:27" x14ac:dyDescent="0.2">
      <c r="A97" s="5">
        <v>103010</v>
      </c>
      <c r="B97" s="5" t="s">
        <v>222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747</v>
      </c>
      <c r="M97" s="5">
        <v>10</v>
      </c>
      <c r="N97" s="5">
        <v>17</v>
      </c>
      <c r="O97">
        <v>36</v>
      </c>
      <c r="P97" s="5"/>
      <c r="Q97" s="5">
        <f t="shared" si="5"/>
        <v>172</v>
      </c>
      <c r="R97" s="5">
        <v>0</v>
      </c>
      <c r="S97" s="5">
        <v>3</v>
      </c>
      <c r="T97" s="5" t="s">
        <v>290</v>
      </c>
      <c r="U97" s="5"/>
      <c r="V97" s="5"/>
      <c r="W97" s="5"/>
      <c r="X97" s="5" t="s">
        <v>192</v>
      </c>
      <c r="Y97" s="10" t="s">
        <v>332</v>
      </c>
      <c r="Z97" s="5" t="s">
        <v>499</v>
      </c>
      <c r="AA97" t="e">
        <f>COUNTIF([1]Sheet1!#REF!, "*"&amp; A97&amp;"*")</f>
        <v>#REF!</v>
      </c>
    </row>
    <row r="98" spans="1:27" x14ac:dyDescent="0.2">
      <c r="A98" s="5">
        <v>103011</v>
      </c>
      <c r="B98" s="5" t="s">
        <v>124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743</v>
      </c>
      <c r="M98" s="5">
        <v>10</v>
      </c>
      <c r="N98" s="5">
        <v>17</v>
      </c>
      <c r="O98">
        <v>30</v>
      </c>
      <c r="P98" s="5"/>
      <c r="Q98" s="5">
        <f t="shared" si="5"/>
        <v>620</v>
      </c>
      <c r="R98" s="5">
        <v>0</v>
      </c>
      <c r="S98" s="5">
        <v>3</v>
      </c>
      <c r="T98" s="5" t="s">
        <v>291</v>
      </c>
      <c r="U98" s="5"/>
      <c r="V98" s="5" t="s">
        <v>324</v>
      </c>
      <c r="W98" s="5"/>
      <c r="X98" s="5" t="s">
        <v>192</v>
      </c>
      <c r="Y98" s="10" t="s">
        <v>330</v>
      </c>
      <c r="Z98" s="5" t="s">
        <v>500</v>
      </c>
      <c r="AA98" t="e">
        <f>COUNTIF([1]Sheet1!#REF!, "*"&amp; A98&amp;"*")</f>
        <v>#REF!</v>
      </c>
    </row>
    <row r="99" spans="1:27" x14ac:dyDescent="0.2">
      <c r="A99" s="5">
        <v>103012</v>
      </c>
      <c r="B99" s="5" t="s">
        <v>96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743</v>
      </c>
      <c r="M99" s="5">
        <v>10</v>
      </c>
      <c r="N99" s="5">
        <v>17</v>
      </c>
      <c r="O99">
        <v>40</v>
      </c>
      <c r="P99" s="5">
        <v>5</v>
      </c>
      <c r="Q99" s="5">
        <f t="shared" si="5"/>
        <v>436</v>
      </c>
      <c r="R99" s="5">
        <v>0</v>
      </c>
      <c r="S99" s="5">
        <v>3</v>
      </c>
      <c r="T99" s="5" t="s">
        <v>292</v>
      </c>
      <c r="U99" s="5"/>
      <c r="V99" s="5"/>
      <c r="W99" s="5"/>
      <c r="X99" s="5" t="s">
        <v>185</v>
      </c>
      <c r="Y99" s="10" t="s">
        <v>164</v>
      </c>
      <c r="Z99" s="5" t="s">
        <v>501</v>
      </c>
      <c r="AA99" t="e">
        <f>COUNTIF([1]Sheet1!#REF!, "*"&amp; A99&amp;"*")</f>
        <v>#REF!</v>
      </c>
    </row>
    <row r="100" spans="1:27" x14ac:dyDescent="0.2">
      <c r="A100" s="5">
        <v>103013</v>
      </c>
      <c r="B100" s="5" t="s">
        <v>238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747</v>
      </c>
      <c r="M100" s="5">
        <v>10</v>
      </c>
      <c r="N100" s="5">
        <v>17</v>
      </c>
      <c r="O100" s="5"/>
      <c r="P100" s="5"/>
      <c r="Q100" s="5">
        <f t="shared" si="5"/>
        <v>511</v>
      </c>
      <c r="R100" s="5">
        <v>0</v>
      </c>
      <c r="S100" s="5">
        <v>1</v>
      </c>
      <c r="T100" s="5" t="s">
        <v>286</v>
      </c>
      <c r="U100" s="5"/>
      <c r="V100" s="5" t="s">
        <v>261</v>
      </c>
      <c r="W100" s="5" t="s">
        <v>380</v>
      </c>
      <c r="X100" s="5" t="s">
        <v>183</v>
      </c>
      <c r="Y100" s="10" t="s">
        <v>69</v>
      </c>
      <c r="Z100" s="5" t="s">
        <v>502</v>
      </c>
      <c r="AA100" t="e">
        <f>COUNTIF([1]Sheet1!#REF!, "*"&amp; A100&amp;"*")</f>
        <v>#REF!</v>
      </c>
    </row>
    <row r="101" spans="1:27" x14ac:dyDescent="0.2">
      <c r="A101" s="5">
        <v>103014</v>
      </c>
      <c r="B101" s="5" t="s">
        <v>111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743</v>
      </c>
      <c r="M101" s="5">
        <v>10</v>
      </c>
      <c r="N101" s="5">
        <v>17</v>
      </c>
      <c r="O101">
        <v>30</v>
      </c>
      <c r="P101" s="5"/>
      <c r="Q101" s="5">
        <f t="shared" si="5"/>
        <v>113</v>
      </c>
      <c r="R101" s="5">
        <v>0</v>
      </c>
      <c r="S101" s="5">
        <v>3</v>
      </c>
      <c r="T101" s="5" t="s">
        <v>293</v>
      </c>
      <c r="U101" s="5"/>
      <c r="V101" s="5" t="s">
        <v>359</v>
      </c>
      <c r="W101" t="s">
        <v>395</v>
      </c>
      <c r="X101" s="5" t="s">
        <v>192</v>
      </c>
      <c r="Y101" s="10" t="s">
        <v>68</v>
      </c>
      <c r="Z101" s="5" t="s">
        <v>503</v>
      </c>
      <c r="AA101" t="e">
        <f>COUNTIF([1]Sheet1!#REF!, "*"&amp; A101&amp;"*")</f>
        <v>#REF!</v>
      </c>
    </row>
    <row r="102" spans="1:27" x14ac:dyDescent="0.2">
      <c r="A102" s="5">
        <v>103015</v>
      </c>
      <c r="B102" s="5" t="s">
        <v>112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742</v>
      </c>
      <c r="M102" s="5">
        <v>10</v>
      </c>
      <c r="N102" s="5">
        <v>17</v>
      </c>
      <c r="O102">
        <v>30</v>
      </c>
      <c r="P102" s="5"/>
      <c r="Q102" s="5">
        <f t="shared" si="5"/>
        <v>113</v>
      </c>
      <c r="R102" s="5">
        <v>0</v>
      </c>
      <c r="S102" s="5">
        <v>3</v>
      </c>
      <c r="T102" s="5" t="s">
        <v>293</v>
      </c>
      <c r="U102" s="5"/>
      <c r="V102" s="5" t="s">
        <v>361</v>
      </c>
      <c r="W102" t="s">
        <v>395</v>
      </c>
      <c r="X102" s="5" t="s">
        <v>192</v>
      </c>
      <c r="Y102" s="10" t="s">
        <v>68</v>
      </c>
      <c r="Z102" s="5" t="s">
        <v>504</v>
      </c>
      <c r="AA102" t="e">
        <f>COUNTIF([1]Sheet1!#REF!, "*"&amp; A102&amp;"*")</f>
        <v>#REF!</v>
      </c>
    </row>
    <row r="103" spans="1:27" x14ac:dyDescent="0.2">
      <c r="A103" s="5">
        <v>103016</v>
      </c>
      <c r="B103" s="5" t="s">
        <v>227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746</v>
      </c>
      <c r="M103" s="5">
        <v>10</v>
      </c>
      <c r="N103" s="5">
        <v>17</v>
      </c>
      <c r="O103">
        <v>26</v>
      </c>
      <c r="P103" s="5">
        <v>8</v>
      </c>
      <c r="Q103" s="5">
        <f t="shared" si="5"/>
        <v>386</v>
      </c>
      <c r="R103" s="5">
        <v>0</v>
      </c>
      <c r="S103" s="5">
        <v>3</v>
      </c>
      <c r="T103" s="5" t="s">
        <v>287</v>
      </c>
      <c r="U103" s="5"/>
      <c r="V103" s="5"/>
      <c r="W103" s="5"/>
      <c r="X103" s="5" t="s">
        <v>185</v>
      </c>
      <c r="Y103" s="10" t="s">
        <v>368</v>
      </c>
      <c r="Z103" s="5" t="s">
        <v>505</v>
      </c>
      <c r="AA103" t="e">
        <f>COUNTIF([1]Sheet1!#REF!, "*"&amp; A103&amp;"*")</f>
        <v>#REF!</v>
      </c>
    </row>
    <row r="104" spans="1:27" x14ac:dyDescent="0.2">
      <c r="A104" s="5">
        <v>103017</v>
      </c>
      <c r="B104" s="5" t="s">
        <v>115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746</v>
      </c>
      <c r="M104" s="5">
        <v>10</v>
      </c>
      <c r="N104" s="5">
        <v>17</v>
      </c>
      <c r="O104" s="5"/>
      <c r="P104" s="5"/>
      <c r="Q104" s="5">
        <f t="shared" si="5"/>
        <v>249</v>
      </c>
      <c r="R104" s="5">
        <v>0</v>
      </c>
      <c r="S104" s="5">
        <v>1</v>
      </c>
      <c r="T104" s="5" t="s">
        <v>295</v>
      </c>
      <c r="U104" s="5"/>
      <c r="V104" s="5" t="s">
        <v>323</v>
      </c>
      <c r="X104" s="5" t="s">
        <v>305</v>
      </c>
      <c r="Y104" s="10" t="s">
        <v>69</v>
      </c>
      <c r="Z104" s="5" t="s">
        <v>506</v>
      </c>
      <c r="AA104" t="e">
        <f>COUNTIF([1]Sheet1!#REF!, "*"&amp; A104&amp;"*")</f>
        <v>#REF!</v>
      </c>
    </row>
    <row r="105" spans="1:27" x14ac:dyDescent="0.2">
      <c r="A105" s="5">
        <v>103018</v>
      </c>
      <c r="B105" s="5" t="s">
        <v>232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745</v>
      </c>
      <c r="M105" s="5">
        <v>10</v>
      </c>
      <c r="N105" s="5">
        <v>17</v>
      </c>
      <c r="O105">
        <v>50</v>
      </c>
      <c r="P105" s="5">
        <v>5</v>
      </c>
      <c r="Q105" s="5">
        <f t="shared" si="5"/>
        <v>236</v>
      </c>
      <c r="R105" s="5">
        <v>0</v>
      </c>
      <c r="S105" s="5">
        <v>3</v>
      </c>
      <c r="T105" s="5" t="s">
        <v>288</v>
      </c>
      <c r="U105" s="5"/>
      <c r="V105" s="5" t="s">
        <v>374</v>
      </c>
      <c r="X105" s="5" t="s">
        <v>185</v>
      </c>
      <c r="Y105" s="10" t="s">
        <v>164</v>
      </c>
      <c r="Z105" s="5" t="s">
        <v>507</v>
      </c>
      <c r="AA105" t="e">
        <f>COUNTIF([1]Sheet1!#REF!, "*"&amp; A105&amp;"*")</f>
        <v>#REF!</v>
      </c>
    </row>
    <row r="106" spans="1:27" x14ac:dyDescent="0.2">
      <c r="A106" s="5">
        <v>103019</v>
      </c>
      <c r="B106" s="5" t="s">
        <v>120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744</v>
      </c>
      <c r="M106" s="5">
        <v>10</v>
      </c>
      <c r="N106" s="5">
        <v>17</v>
      </c>
      <c r="O106" s="5"/>
      <c r="P106" s="5"/>
      <c r="Q106" s="5">
        <f t="shared" si="5"/>
        <v>105</v>
      </c>
      <c r="R106" s="5">
        <v>0</v>
      </c>
      <c r="S106" s="5">
        <v>1</v>
      </c>
      <c r="T106" s="5" t="s">
        <v>285</v>
      </c>
      <c r="U106" s="5"/>
      <c r="V106" s="5" t="s">
        <v>262</v>
      </c>
      <c r="W106" s="5" t="s">
        <v>374</v>
      </c>
      <c r="X106" s="5" t="s">
        <v>191</v>
      </c>
      <c r="Y106" s="10" t="s">
        <v>69</v>
      </c>
      <c r="Z106" s="5" t="s">
        <v>508</v>
      </c>
      <c r="AA106" t="e">
        <f>COUNTIF([1]Sheet1!#REF!, "*"&amp; A106&amp;"*")</f>
        <v>#REF!</v>
      </c>
    </row>
    <row r="107" spans="1:27" x14ac:dyDescent="0.2">
      <c r="A107" s="5">
        <v>103020</v>
      </c>
      <c r="B107" s="5" t="s">
        <v>970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742</v>
      </c>
      <c r="M107" s="5">
        <v>10</v>
      </c>
      <c r="N107" s="5">
        <v>17</v>
      </c>
      <c r="O107">
        <v>40</v>
      </c>
      <c r="P107" s="5">
        <v>5</v>
      </c>
      <c r="Q107" s="5">
        <f t="shared" si="5"/>
        <v>158</v>
      </c>
      <c r="R107" s="5">
        <v>0</v>
      </c>
      <c r="S107" s="5">
        <v>3</v>
      </c>
      <c r="T107" s="5" t="s">
        <v>292</v>
      </c>
      <c r="U107" s="5"/>
      <c r="V107" s="5" t="s">
        <v>394</v>
      </c>
      <c r="W107" s="5"/>
      <c r="X107" s="5" t="s">
        <v>185</v>
      </c>
      <c r="Y107" s="10" t="s">
        <v>164</v>
      </c>
      <c r="Z107" s="5" t="s">
        <v>509</v>
      </c>
      <c r="AA107" t="e">
        <f>COUNTIF([1]Sheet1!#REF!, "*"&amp; A107&amp;"*")</f>
        <v>#REF!</v>
      </c>
    </row>
    <row r="108" spans="1:27" x14ac:dyDescent="0.2">
      <c r="A108" s="5">
        <v>103021</v>
      </c>
      <c r="B108" s="5" t="s">
        <v>117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744</v>
      </c>
      <c r="M108" s="5">
        <v>10</v>
      </c>
      <c r="N108" s="5">
        <v>17</v>
      </c>
      <c r="O108" s="5"/>
      <c r="P108" s="5"/>
      <c r="Q108" s="5">
        <f t="shared" si="5"/>
        <v>835</v>
      </c>
      <c r="R108" s="5">
        <v>0</v>
      </c>
      <c r="S108" s="5">
        <v>1</v>
      </c>
      <c r="T108" s="5" t="s">
        <v>283</v>
      </c>
      <c r="U108" s="5"/>
      <c r="V108" s="5" t="s">
        <v>384</v>
      </c>
      <c r="W108" s="5"/>
      <c r="X108" s="5" t="s">
        <v>183</v>
      </c>
      <c r="Y108" s="10" t="s">
        <v>69</v>
      </c>
      <c r="Z108" s="5" t="s">
        <v>510</v>
      </c>
      <c r="AA108" t="e">
        <f>COUNTIF([1]Sheet1!#REF!, "*"&amp; A108&amp;"*")</f>
        <v>#REF!</v>
      </c>
    </row>
    <row r="109" spans="1:27" x14ac:dyDescent="0.2">
      <c r="A109" s="5">
        <v>103022</v>
      </c>
      <c r="B109" s="5" t="s">
        <v>118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744</v>
      </c>
      <c r="M109" s="5">
        <v>10</v>
      </c>
      <c r="N109" s="5">
        <v>17</v>
      </c>
      <c r="O109" s="5"/>
      <c r="P109" s="5"/>
      <c r="Q109" s="5">
        <f t="shared" si="5"/>
        <v>779</v>
      </c>
      <c r="R109" s="5">
        <v>0</v>
      </c>
      <c r="S109" s="5">
        <v>1</v>
      </c>
      <c r="T109" s="5" t="s">
        <v>285</v>
      </c>
      <c r="U109" s="5"/>
      <c r="V109" s="5" t="s">
        <v>348</v>
      </c>
      <c r="W109" s="5" t="s">
        <v>379</v>
      </c>
      <c r="X109" s="5" t="s">
        <v>316</v>
      </c>
      <c r="Y109" s="10" t="s">
        <v>69</v>
      </c>
      <c r="Z109" s="5" t="s">
        <v>511</v>
      </c>
      <c r="AA109" t="e">
        <f>COUNTIF([1]Sheet1!#REF!, "*"&amp; A109&amp;"*")</f>
        <v>#REF!</v>
      </c>
    </row>
    <row r="110" spans="1:27" x14ac:dyDescent="0.2">
      <c r="A110" s="5">
        <v>103023</v>
      </c>
      <c r="B110" s="5" t="s">
        <v>148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741</v>
      </c>
      <c r="M110" s="5">
        <v>10</v>
      </c>
      <c r="N110" s="5">
        <v>17</v>
      </c>
      <c r="O110">
        <v>36</v>
      </c>
      <c r="P110" s="5"/>
      <c r="Q110" s="5">
        <f t="shared" si="5"/>
        <v>191</v>
      </c>
      <c r="R110" s="5">
        <v>0</v>
      </c>
      <c r="S110" s="5">
        <v>3</v>
      </c>
      <c r="T110" s="5" t="s">
        <v>290</v>
      </c>
      <c r="U110" s="5"/>
      <c r="V110" s="5" t="s">
        <v>324</v>
      </c>
      <c r="W110" s="5"/>
      <c r="X110" s="5" t="s">
        <v>192</v>
      </c>
      <c r="Y110" s="10" t="s">
        <v>332</v>
      </c>
      <c r="Z110" s="5" t="s">
        <v>512</v>
      </c>
      <c r="AA110" t="e">
        <f>COUNTIF([1]Sheet1!#REF!, "*"&amp; A110&amp;"*")</f>
        <v>#REF!</v>
      </c>
    </row>
    <row r="111" spans="1:27" x14ac:dyDescent="0.2">
      <c r="A111" s="5">
        <v>103024</v>
      </c>
      <c r="B111" s="5" t="s">
        <v>122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747</v>
      </c>
      <c r="M111" s="5">
        <v>10</v>
      </c>
      <c r="N111" s="5">
        <v>17</v>
      </c>
      <c r="O111">
        <v>30</v>
      </c>
      <c r="P111" s="5"/>
      <c r="Q111" s="5">
        <f t="shared" si="5"/>
        <v>224</v>
      </c>
      <c r="R111" s="5">
        <v>0</v>
      </c>
      <c r="S111" s="5">
        <v>3</v>
      </c>
      <c r="T111" s="5" t="s">
        <v>291</v>
      </c>
      <c r="U111" s="5"/>
      <c r="V111" s="5" t="s">
        <v>300</v>
      </c>
      <c r="W111" s="5"/>
      <c r="X111" s="5" t="s">
        <v>186</v>
      </c>
      <c r="Y111" s="10" t="s">
        <v>330</v>
      </c>
      <c r="Z111" s="5" t="s">
        <v>513</v>
      </c>
      <c r="AA111" t="e">
        <f>COUNTIF([1]Sheet1!#REF!, "*"&amp; A111&amp;"*")</f>
        <v>#REF!</v>
      </c>
    </row>
    <row r="112" spans="1:27" x14ac:dyDescent="0.2">
      <c r="A112" s="5">
        <v>103025</v>
      </c>
      <c r="B112" s="5" t="s">
        <v>119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746</v>
      </c>
      <c r="M112" s="5">
        <v>10</v>
      </c>
      <c r="N112" s="5">
        <v>17</v>
      </c>
      <c r="O112">
        <v>58</v>
      </c>
      <c r="P112" s="5"/>
      <c r="Q112" s="5">
        <f t="shared" si="5"/>
        <v>539</v>
      </c>
      <c r="R112" s="5">
        <v>0</v>
      </c>
      <c r="S112" s="5">
        <v>3</v>
      </c>
      <c r="T112" s="5" t="s">
        <v>297</v>
      </c>
      <c r="U112" s="5"/>
      <c r="V112" s="5" t="s">
        <v>378</v>
      </c>
      <c r="W112" s="5"/>
      <c r="X112" s="5" t="s">
        <v>313</v>
      </c>
      <c r="Y112" s="10" t="s">
        <v>331</v>
      </c>
      <c r="Z112" s="5" t="s">
        <v>514</v>
      </c>
      <c r="AA112" t="e">
        <f>COUNTIF([1]Sheet1!#REF!, "*"&amp; A112&amp;"*")</f>
        <v>#REF!</v>
      </c>
    </row>
    <row r="113" spans="1:27" x14ac:dyDescent="0.2">
      <c r="A113" s="5">
        <v>103026</v>
      </c>
      <c r="B113" s="5" t="s">
        <v>123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746</v>
      </c>
      <c r="M113" s="5">
        <v>10</v>
      </c>
      <c r="N113" s="5">
        <v>17</v>
      </c>
      <c r="O113">
        <v>30</v>
      </c>
      <c r="P113" s="5"/>
      <c r="Q113" s="5">
        <f t="shared" si="5"/>
        <v>341</v>
      </c>
      <c r="R113" s="5">
        <v>0</v>
      </c>
      <c r="S113" s="5">
        <v>3</v>
      </c>
      <c r="T113" s="5" t="s">
        <v>289</v>
      </c>
      <c r="U113" s="5"/>
      <c r="V113" s="5" t="s">
        <v>386</v>
      </c>
      <c r="W113" s="5"/>
      <c r="X113" s="5" t="s">
        <v>186</v>
      </c>
      <c r="Y113" s="10" t="s">
        <v>68</v>
      </c>
      <c r="Z113" s="5" t="s">
        <v>515</v>
      </c>
      <c r="AA113" t="e">
        <f>COUNTIF([1]Sheet1!#REF!, "*"&amp; A113&amp;"*")</f>
        <v>#REF!</v>
      </c>
    </row>
    <row r="114" spans="1:27" x14ac:dyDescent="0.2">
      <c r="A114" s="5">
        <v>103027</v>
      </c>
      <c r="B114" s="5" t="s">
        <v>130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742</v>
      </c>
      <c r="M114" s="5">
        <v>10</v>
      </c>
      <c r="N114" s="5">
        <v>17</v>
      </c>
      <c r="O114" s="5"/>
      <c r="P114" s="5"/>
      <c r="Q114" s="5">
        <f t="shared" si="5"/>
        <v>318</v>
      </c>
      <c r="R114" s="5">
        <v>0</v>
      </c>
      <c r="S114" s="5">
        <v>1</v>
      </c>
      <c r="T114" s="5" t="s">
        <v>285</v>
      </c>
      <c r="U114" s="5"/>
      <c r="V114" s="5" t="s">
        <v>325</v>
      </c>
      <c r="W114" s="5"/>
      <c r="X114" s="5" t="s">
        <v>194</v>
      </c>
      <c r="Y114" s="10" t="s">
        <v>69</v>
      </c>
      <c r="Z114" s="5" t="s">
        <v>516</v>
      </c>
      <c r="AA114" t="e">
        <f>COUNTIF([1]Sheet1!#REF!, "*"&amp; A114&amp;"*")</f>
        <v>#REF!</v>
      </c>
    </row>
    <row r="115" spans="1:27" x14ac:dyDescent="0.2">
      <c r="A115" s="5">
        <v>103029</v>
      </c>
      <c r="B115" s="5" t="s">
        <v>133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746</v>
      </c>
      <c r="M115" s="5">
        <v>10</v>
      </c>
      <c r="N115" s="5">
        <v>17</v>
      </c>
      <c r="O115" s="5"/>
      <c r="P115" s="5"/>
      <c r="Q115" s="5">
        <f t="shared" si="5"/>
        <v>386</v>
      </c>
      <c r="R115" s="5">
        <v>0</v>
      </c>
      <c r="S115" s="5">
        <v>1</v>
      </c>
      <c r="T115" s="5" t="s">
        <v>295</v>
      </c>
      <c r="U115" s="5"/>
      <c r="V115" s="5" t="s">
        <v>393</v>
      </c>
      <c r="W115" s="5"/>
      <c r="X115" s="5" t="s">
        <v>311</v>
      </c>
      <c r="Y115" s="10" t="s">
        <v>69</v>
      </c>
      <c r="Z115" s="5" t="s">
        <v>519</v>
      </c>
      <c r="AA115" t="e">
        <f>COUNTIF([1]Sheet1!#REF!, "*"&amp; A115&amp;"*")</f>
        <v>#REF!</v>
      </c>
    </row>
    <row r="116" spans="1:27" x14ac:dyDescent="0.2">
      <c r="A116" s="5">
        <v>103031</v>
      </c>
      <c r="B116" s="5" t="s">
        <v>139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747</v>
      </c>
      <c r="M116" s="5">
        <v>10</v>
      </c>
      <c r="N116" s="5">
        <v>17</v>
      </c>
      <c r="O116" s="5"/>
      <c r="P116" s="5"/>
      <c r="Q116" s="5">
        <f t="shared" si="5"/>
        <v>213</v>
      </c>
      <c r="R116" s="5">
        <v>0</v>
      </c>
      <c r="S116" s="5">
        <v>1</v>
      </c>
      <c r="T116" s="5" t="s">
        <v>286</v>
      </c>
      <c r="U116" s="5"/>
      <c r="V116" s="5" t="s">
        <v>366</v>
      </c>
      <c r="W116" s="5"/>
      <c r="X116" s="5" t="s">
        <v>190</v>
      </c>
      <c r="Y116" s="10" t="s">
        <v>69</v>
      </c>
      <c r="Z116" s="5" t="s">
        <v>521</v>
      </c>
      <c r="AA116" t="e">
        <f>COUNTIF([1]Sheet1!#REF!, "*"&amp; A116&amp;"*")</f>
        <v>#REF!</v>
      </c>
    </row>
    <row r="117" spans="1:27" x14ac:dyDescent="0.2">
      <c r="A117" s="5">
        <v>103032</v>
      </c>
      <c r="B117" s="5" t="s">
        <v>141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743</v>
      </c>
      <c r="M117" s="5">
        <v>10</v>
      </c>
      <c r="N117" s="5">
        <v>17</v>
      </c>
      <c r="O117" s="5"/>
      <c r="P117" s="5"/>
      <c r="Q117" s="5">
        <f t="shared" si="5"/>
        <v>414</v>
      </c>
      <c r="R117" s="5">
        <v>0</v>
      </c>
      <c r="S117" s="5">
        <v>1</v>
      </c>
      <c r="T117" s="5" t="s">
        <v>286</v>
      </c>
      <c r="U117" s="5"/>
      <c r="V117" s="5" t="s">
        <v>353</v>
      </c>
      <c r="W117" s="5"/>
      <c r="X117" s="5" t="s">
        <v>311</v>
      </c>
      <c r="Y117" s="10" t="s">
        <v>69</v>
      </c>
      <c r="Z117" s="5" t="s">
        <v>522</v>
      </c>
      <c r="AA117" t="e">
        <f>COUNTIF([1]Sheet1!#REF!, "*"&amp; A117&amp;"*")</f>
        <v>#REF!</v>
      </c>
    </row>
    <row r="118" spans="1:27" x14ac:dyDescent="0.2">
      <c r="A118" s="5">
        <v>103033</v>
      </c>
      <c r="B118" s="5" t="s">
        <v>220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743</v>
      </c>
      <c r="M118" s="5">
        <v>10</v>
      </c>
      <c r="N118" s="5">
        <v>17</v>
      </c>
      <c r="O118" s="5"/>
      <c r="P118" s="5"/>
      <c r="Q118" s="5">
        <f t="shared" si="5"/>
        <v>520</v>
      </c>
      <c r="R118" s="5">
        <v>0</v>
      </c>
      <c r="S118" s="5">
        <v>1</v>
      </c>
      <c r="T118" s="5" t="s">
        <v>285</v>
      </c>
      <c r="U118" s="5"/>
      <c r="V118" s="5" t="s">
        <v>388</v>
      </c>
      <c r="W118" s="5"/>
      <c r="X118" s="5" t="s">
        <v>311</v>
      </c>
      <c r="Y118" s="10" t="s">
        <v>69</v>
      </c>
      <c r="Z118" s="5" t="s">
        <v>523</v>
      </c>
      <c r="AA118" t="e">
        <f>COUNTIF([1]Sheet1!#REF!, "*"&amp; A118&amp;"*")</f>
        <v>#REF!</v>
      </c>
    </row>
    <row r="119" spans="1:27" x14ac:dyDescent="0.2">
      <c r="A119" s="5">
        <v>103035</v>
      </c>
      <c r="B119" s="5" t="s">
        <v>147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746</v>
      </c>
      <c r="M119" s="5">
        <v>10</v>
      </c>
      <c r="N119" s="5">
        <v>17</v>
      </c>
      <c r="O119">
        <v>30</v>
      </c>
      <c r="P119" s="5"/>
      <c r="Q119" s="5">
        <f t="shared" si="5"/>
        <v>69</v>
      </c>
      <c r="R119" s="5">
        <v>0</v>
      </c>
      <c r="S119" s="5">
        <v>3</v>
      </c>
      <c r="T119" s="5" t="s">
        <v>291</v>
      </c>
      <c r="U119" s="5"/>
      <c r="V119" s="5" t="s">
        <v>374</v>
      </c>
      <c r="W119" s="5"/>
      <c r="X119" s="5" t="s">
        <v>186</v>
      </c>
      <c r="Y119" s="10" t="s">
        <v>330</v>
      </c>
      <c r="Z119" s="5" t="s">
        <v>525</v>
      </c>
      <c r="AA119" t="e">
        <f>COUNTIF([1]Sheet1!#REF!, "*"&amp; A119&amp;"*")</f>
        <v>#REF!</v>
      </c>
    </row>
    <row r="120" spans="1:27" x14ac:dyDescent="0.2">
      <c r="A120" s="5">
        <v>103036</v>
      </c>
      <c r="B120" s="5" t="s">
        <v>730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744</v>
      </c>
      <c r="M120" s="5">
        <v>10</v>
      </c>
      <c r="N120" s="5">
        <v>17</v>
      </c>
      <c r="O120" s="5"/>
      <c r="P120" s="5"/>
      <c r="Q120" s="5">
        <f t="shared" ref="Q120:Q138" si="6">MAX(25, INT(POWER(2.2,J120/45)))</f>
        <v>511</v>
      </c>
      <c r="R120" s="5">
        <v>0</v>
      </c>
      <c r="S120" s="5">
        <v>1</v>
      </c>
      <c r="T120" s="5" t="s">
        <v>989</v>
      </c>
      <c r="U120" s="5"/>
      <c r="V120" s="5"/>
      <c r="W120" s="5"/>
      <c r="X120" s="5" t="s">
        <v>183</v>
      </c>
      <c r="Y120" s="10" t="s">
        <v>335</v>
      </c>
      <c r="Z120" s="5" t="s">
        <v>847</v>
      </c>
    </row>
    <row r="121" spans="1:27" x14ac:dyDescent="0.2">
      <c r="A121" s="5">
        <v>103037</v>
      </c>
      <c r="B121" s="5" t="s">
        <v>731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747</v>
      </c>
      <c r="M121" s="5">
        <v>10</v>
      </c>
      <c r="N121" s="5">
        <v>17</v>
      </c>
      <c r="O121" s="5"/>
      <c r="P121" s="5"/>
      <c r="Q121" s="5">
        <f t="shared" si="6"/>
        <v>109</v>
      </c>
      <c r="R121" s="5">
        <v>0</v>
      </c>
      <c r="S121" s="5">
        <v>1</v>
      </c>
      <c r="T121" s="5" t="s">
        <v>989</v>
      </c>
      <c r="U121" s="5"/>
      <c r="V121" s="5"/>
      <c r="W121" s="5"/>
      <c r="X121" s="5" t="s">
        <v>183</v>
      </c>
      <c r="Y121" s="10" t="s">
        <v>335</v>
      </c>
      <c r="Z121" s="5" t="s">
        <v>848</v>
      </c>
    </row>
    <row r="122" spans="1:27" x14ac:dyDescent="0.2">
      <c r="A122" s="5">
        <v>103038</v>
      </c>
      <c r="B122" s="5" t="s">
        <v>732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745</v>
      </c>
      <c r="M122" s="5">
        <v>10</v>
      </c>
      <c r="N122" s="5">
        <v>17</v>
      </c>
      <c r="O122" s="5"/>
      <c r="P122" s="5"/>
      <c r="Q122" s="5">
        <f t="shared" si="6"/>
        <v>105</v>
      </c>
      <c r="R122" s="5">
        <v>0</v>
      </c>
      <c r="S122" s="5">
        <v>1</v>
      </c>
      <c r="T122" s="5" t="s">
        <v>989</v>
      </c>
      <c r="U122" s="5"/>
      <c r="V122" s="5"/>
      <c r="W122" s="5"/>
      <c r="X122" s="5" t="s">
        <v>183</v>
      </c>
      <c r="Y122" s="10" t="s">
        <v>335</v>
      </c>
      <c r="Z122" s="5" t="s">
        <v>856</v>
      </c>
    </row>
    <row r="123" spans="1:27" x14ac:dyDescent="0.2">
      <c r="A123" s="5">
        <v>103039</v>
      </c>
      <c r="B123" s="5" t="s">
        <v>921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741</v>
      </c>
      <c r="M123" s="5">
        <v>10</v>
      </c>
      <c r="N123" s="5">
        <v>17</v>
      </c>
      <c r="O123" s="5"/>
      <c r="P123" s="5"/>
      <c r="Q123" s="5">
        <f t="shared" si="6"/>
        <v>386</v>
      </c>
      <c r="R123" s="5">
        <v>0</v>
      </c>
      <c r="S123" s="5">
        <v>1</v>
      </c>
      <c r="T123" s="5" t="s">
        <v>989</v>
      </c>
      <c r="U123" s="5"/>
      <c r="V123" s="5"/>
      <c r="W123" s="5"/>
      <c r="X123" s="5" t="s">
        <v>183</v>
      </c>
      <c r="Y123" s="10" t="s">
        <v>335</v>
      </c>
      <c r="Z123" s="5" t="s">
        <v>922</v>
      </c>
    </row>
    <row r="124" spans="1:27" x14ac:dyDescent="0.2">
      <c r="A124" s="5">
        <v>103040</v>
      </c>
      <c r="B124" s="5" t="s">
        <v>945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741</v>
      </c>
      <c r="M124" s="5">
        <v>10</v>
      </c>
      <c r="N124" s="5">
        <v>17</v>
      </c>
      <c r="O124" s="5"/>
      <c r="P124" s="5"/>
      <c r="Q124" s="5">
        <f t="shared" si="6"/>
        <v>360</v>
      </c>
      <c r="R124" s="5">
        <v>0</v>
      </c>
      <c r="S124" s="5">
        <v>1</v>
      </c>
      <c r="T124" s="5" t="s">
        <v>989</v>
      </c>
      <c r="U124" s="5"/>
      <c r="V124" s="5"/>
      <c r="W124" s="5"/>
      <c r="X124" s="5" t="s">
        <v>183</v>
      </c>
      <c r="Y124" s="10" t="s">
        <v>335</v>
      </c>
      <c r="Z124" s="5" t="s">
        <v>946</v>
      </c>
    </row>
    <row r="125" spans="1:27" x14ac:dyDescent="0.2">
      <c r="A125" s="5">
        <v>103041</v>
      </c>
      <c r="B125" s="5" t="s">
        <v>959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741</v>
      </c>
      <c r="M125" s="5">
        <v>10</v>
      </c>
      <c r="N125" s="5">
        <v>17</v>
      </c>
      <c r="O125" s="5"/>
      <c r="P125" s="5"/>
      <c r="Q125" s="5">
        <f t="shared" si="6"/>
        <v>205</v>
      </c>
      <c r="R125" s="5">
        <v>0</v>
      </c>
      <c r="S125" s="5">
        <v>1</v>
      </c>
      <c r="T125" s="5" t="s">
        <v>989</v>
      </c>
      <c r="U125" s="5"/>
      <c r="V125" s="5"/>
      <c r="W125" s="5"/>
      <c r="X125" s="5" t="s">
        <v>183</v>
      </c>
      <c r="Y125" s="10" t="s">
        <v>335</v>
      </c>
      <c r="Z125" s="5" t="s">
        <v>849</v>
      </c>
    </row>
    <row r="126" spans="1:27" x14ac:dyDescent="0.2">
      <c r="A126" s="5">
        <v>103042</v>
      </c>
      <c r="B126" s="5" t="s">
        <v>733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741</v>
      </c>
      <c r="M126" s="5">
        <v>10</v>
      </c>
      <c r="N126" s="5">
        <v>17</v>
      </c>
      <c r="O126" s="5"/>
      <c r="P126" s="5"/>
      <c r="Q126" s="5">
        <f t="shared" si="6"/>
        <v>64</v>
      </c>
      <c r="R126" s="5">
        <v>0</v>
      </c>
      <c r="S126" s="5">
        <v>1</v>
      </c>
      <c r="T126" s="5" t="s">
        <v>989</v>
      </c>
      <c r="U126" s="5"/>
      <c r="V126" s="5"/>
      <c r="W126" s="5"/>
      <c r="X126" s="5" t="s">
        <v>183</v>
      </c>
      <c r="Y126" s="10" t="s">
        <v>335</v>
      </c>
      <c r="Z126" s="5" t="s">
        <v>845</v>
      </c>
    </row>
    <row r="127" spans="1:27" x14ac:dyDescent="0.2">
      <c r="A127" s="5">
        <v>103043</v>
      </c>
      <c r="B127" s="5" t="s">
        <v>734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744</v>
      </c>
      <c r="M127" s="5">
        <v>10</v>
      </c>
      <c r="N127" s="5">
        <v>17</v>
      </c>
      <c r="O127" s="5"/>
      <c r="P127" s="5"/>
      <c r="Q127" s="5">
        <f t="shared" si="6"/>
        <v>67</v>
      </c>
      <c r="R127" s="5">
        <v>0</v>
      </c>
      <c r="S127" s="5">
        <v>1</v>
      </c>
      <c r="T127" s="5" t="s">
        <v>989</v>
      </c>
      <c r="U127" s="5"/>
      <c r="V127" s="5"/>
      <c r="W127" s="5"/>
      <c r="X127" s="5" t="s">
        <v>183</v>
      </c>
      <c r="Y127" s="10" t="s">
        <v>335</v>
      </c>
      <c r="Z127" s="5" t="s">
        <v>911</v>
      </c>
    </row>
    <row r="128" spans="1:27" x14ac:dyDescent="0.2">
      <c r="A128" s="5">
        <v>103044</v>
      </c>
      <c r="B128" s="5" t="s">
        <v>735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742</v>
      </c>
      <c r="M128" s="5">
        <v>10</v>
      </c>
      <c r="N128" s="5">
        <v>17</v>
      </c>
      <c r="O128" s="5"/>
      <c r="P128" s="5"/>
      <c r="Q128" s="5">
        <f t="shared" si="6"/>
        <v>502</v>
      </c>
      <c r="R128" s="5">
        <v>0</v>
      </c>
      <c r="S128" s="5">
        <v>1</v>
      </c>
      <c r="T128" s="5" t="s">
        <v>989</v>
      </c>
      <c r="U128" s="5"/>
      <c r="V128" s="5"/>
      <c r="W128" s="5"/>
      <c r="X128" s="5" t="s">
        <v>183</v>
      </c>
      <c r="Y128" s="10" t="s">
        <v>335</v>
      </c>
      <c r="Z128" s="5" t="s">
        <v>844</v>
      </c>
    </row>
    <row r="129" spans="1:26" x14ac:dyDescent="0.2">
      <c r="A129" s="5">
        <v>103045</v>
      </c>
      <c r="B129" s="5" t="s">
        <v>736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742</v>
      </c>
      <c r="M129" s="5">
        <v>10</v>
      </c>
      <c r="N129" s="5">
        <v>17</v>
      </c>
      <c r="O129" s="5"/>
      <c r="P129" s="5"/>
      <c r="Q129" s="5">
        <f t="shared" si="6"/>
        <v>568</v>
      </c>
      <c r="R129" s="5">
        <v>0</v>
      </c>
      <c r="S129" s="5">
        <v>1</v>
      </c>
      <c r="T129" s="5" t="s">
        <v>989</v>
      </c>
      <c r="U129" s="5"/>
      <c r="V129" s="5"/>
      <c r="W129" s="5"/>
      <c r="X129" s="5" t="s">
        <v>183</v>
      </c>
      <c r="Y129" s="10" t="s">
        <v>335</v>
      </c>
      <c r="Z129" s="5" t="s">
        <v>850</v>
      </c>
    </row>
    <row r="130" spans="1:26" x14ac:dyDescent="0.2">
      <c r="A130" s="5">
        <v>103046</v>
      </c>
      <c r="B130" s="5" t="s">
        <v>943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742</v>
      </c>
      <c r="M130" s="5">
        <v>10</v>
      </c>
      <c r="N130" s="5">
        <v>17</v>
      </c>
      <c r="O130" s="5"/>
      <c r="P130" s="5"/>
      <c r="Q130" s="5">
        <f t="shared" si="6"/>
        <v>297</v>
      </c>
      <c r="R130" s="5">
        <v>0</v>
      </c>
      <c r="S130" s="5">
        <v>1</v>
      </c>
      <c r="T130" s="5" t="s">
        <v>989</v>
      </c>
      <c r="U130" s="5"/>
      <c r="V130" s="5"/>
      <c r="W130" s="5"/>
      <c r="X130" s="5" t="s">
        <v>183</v>
      </c>
      <c r="Y130" s="10" t="s">
        <v>335</v>
      </c>
      <c r="Z130" s="5" t="s">
        <v>944</v>
      </c>
    </row>
    <row r="131" spans="1:26" x14ac:dyDescent="0.2">
      <c r="A131" s="5">
        <v>103047</v>
      </c>
      <c r="B131" s="5" t="s">
        <v>737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744</v>
      </c>
      <c r="M131" s="5">
        <v>10</v>
      </c>
      <c r="N131" s="5">
        <v>17</v>
      </c>
      <c r="O131" s="5"/>
      <c r="P131" s="5"/>
      <c r="Q131" s="5">
        <f t="shared" si="6"/>
        <v>26</v>
      </c>
      <c r="R131" s="5">
        <v>0</v>
      </c>
      <c r="S131" s="5">
        <v>1</v>
      </c>
      <c r="T131" s="5" t="s">
        <v>989</v>
      </c>
      <c r="U131" s="5"/>
      <c r="V131" s="5"/>
      <c r="W131" s="5"/>
      <c r="X131" s="5" t="s">
        <v>183</v>
      </c>
      <c r="Y131" s="10" t="s">
        <v>335</v>
      </c>
      <c r="Z131" s="5" t="s">
        <v>846</v>
      </c>
    </row>
    <row r="132" spans="1:26" x14ac:dyDescent="0.2">
      <c r="A132" s="5">
        <v>103048</v>
      </c>
      <c r="B132" s="5" t="s">
        <v>941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745</v>
      </c>
      <c r="M132" s="5">
        <v>10</v>
      </c>
      <c r="N132" s="5">
        <v>17</v>
      </c>
      <c r="O132" s="5"/>
      <c r="P132" s="5"/>
      <c r="Q132" s="5">
        <f t="shared" si="6"/>
        <v>653</v>
      </c>
      <c r="R132" s="5">
        <v>0</v>
      </c>
      <c r="S132" s="5">
        <v>1</v>
      </c>
      <c r="T132" s="5" t="s">
        <v>989</v>
      </c>
      <c r="U132" s="5"/>
      <c r="V132" s="5"/>
      <c r="W132" s="5"/>
      <c r="X132" s="5" t="s">
        <v>183</v>
      </c>
      <c r="Y132" s="10" t="s">
        <v>335</v>
      </c>
      <c r="Z132" s="5" t="s">
        <v>942</v>
      </c>
    </row>
    <row r="133" spans="1:26" x14ac:dyDescent="0.2">
      <c r="A133" s="5">
        <v>103049</v>
      </c>
      <c r="B133" s="5" t="s">
        <v>960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745</v>
      </c>
      <c r="M133" s="5">
        <v>10</v>
      </c>
      <c r="N133" s="5">
        <v>17</v>
      </c>
      <c r="O133" s="5"/>
      <c r="P133" s="5"/>
      <c r="Q133" s="5">
        <f t="shared" si="6"/>
        <v>452</v>
      </c>
      <c r="R133" s="5">
        <v>0</v>
      </c>
      <c r="S133" s="5">
        <v>1</v>
      </c>
      <c r="T133" s="5" t="s">
        <v>989</v>
      </c>
      <c r="U133" s="5"/>
      <c r="V133" s="5"/>
      <c r="W133" s="5"/>
      <c r="X133" s="5" t="s">
        <v>183</v>
      </c>
      <c r="Y133" s="10" t="s">
        <v>335</v>
      </c>
      <c r="Z133" s="5" t="s">
        <v>843</v>
      </c>
    </row>
    <row r="134" spans="1:26" x14ac:dyDescent="0.2">
      <c r="A134" s="5">
        <v>103050</v>
      </c>
      <c r="B134" s="5" t="s">
        <v>947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745</v>
      </c>
      <c r="M134" s="5">
        <v>10</v>
      </c>
      <c r="N134" s="5">
        <v>17</v>
      </c>
      <c r="O134" s="5"/>
      <c r="P134" s="5"/>
      <c r="Q134" s="5">
        <f t="shared" si="6"/>
        <v>379</v>
      </c>
      <c r="R134" s="5">
        <v>0</v>
      </c>
      <c r="S134" s="5">
        <v>1</v>
      </c>
      <c r="T134" s="5" t="s">
        <v>989</v>
      </c>
      <c r="U134" s="5"/>
      <c r="V134" s="5"/>
      <c r="W134" s="5"/>
      <c r="X134" s="5" t="s">
        <v>183</v>
      </c>
      <c r="Y134" s="10" t="s">
        <v>335</v>
      </c>
      <c r="Z134" s="5" t="s">
        <v>948</v>
      </c>
    </row>
    <row r="135" spans="1:26" x14ac:dyDescent="0.2">
      <c r="A135" s="5">
        <v>103052</v>
      </c>
      <c r="B135" s="5" t="s">
        <v>961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743</v>
      </c>
      <c r="M135" s="5">
        <v>10</v>
      </c>
      <c r="N135" s="5">
        <v>17</v>
      </c>
      <c r="O135" s="5"/>
      <c r="P135" s="5"/>
      <c r="Q135" s="5">
        <f t="shared" si="6"/>
        <v>84</v>
      </c>
      <c r="R135" s="5">
        <v>0</v>
      </c>
      <c r="S135" s="5">
        <v>1</v>
      </c>
      <c r="T135" s="5" t="s">
        <v>989</v>
      </c>
      <c r="U135" s="5"/>
      <c r="V135" s="5"/>
      <c r="W135" s="5"/>
      <c r="X135" s="5" t="s">
        <v>183</v>
      </c>
      <c r="Y135" s="10" t="s">
        <v>335</v>
      </c>
      <c r="Z135" s="5" t="s">
        <v>909</v>
      </c>
    </row>
    <row r="136" spans="1:26" x14ac:dyDescent="0.2">
      <c r="A136" s="5">
        <v>103054</v>
      </c>
      <c r="B136" s="5" t="s">
        <v>739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742</v>
      </c>
      <c r="M136" s="5">
        <v>10</v>
      </c>
      <c r="N136" s="5">
        <v>17</v>
      </c>
      <c r="O136" s="5"/>
      <c r="P136" s="5"/>
      <c r="Q136" s="5">
        <f t="shared" si="6"/>
        <v>81</v>
      </c>
      <c r="R136" s="5">
        <v>0</v>
      </c>
      <c r="S136" s="5">
        <v>1</v>
      </c>
      <c r="T136" s="5" t="s">
        <v>989</v>
      </c>
      <c r="U136" s="5"/>
      <c r="V136" s="5"/>
      <c r="W136" s="5"/>
      <c r="X136" s="5" t="s">
        <v>183</v>
      </c>
      <c r="Y136" s="10" t="s">
        <v>335</v>
      </c>
      <c r="Z136" s="5" t="s">
        <v>863</v>
      </c>
    </row>
    <row r="137" spans="1:26" x14ac:dyDescent="0.2">
      <c r="A137" s="5">
        <v>103055</v>
      </c>
      <c r="B137" s="5" t="s">
        <v>740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742</v>
      </c>
      <c r="M137" s="5">
        <v>10</v>
      </c>
      <c r="N137" s="5">
        <v>17</v>
      </c>
      <c r="O137" s="5"/>
      <c r="P137" s="5"/>
      <c r="Q137" s="5">
        <f t="shared" si="6"/>
        <v>25</v>
      </c>
      <c r="R137" s="5">
        <v>0</v>
      </c>
      <c r="S137" s="5">
        <v>1</v>
      </c>
      <c r="T137" s="5" t="s">
        <v>989</v>
      </c>
      <c r="U137" s="5"/>
      <c r="V137" s="5"/>
      <c r="W137" s="5"/>
      <c r="X137" s="5" t="s">
        <v>183</v>
      </c>
      <c r="Y137" s="10" t="s">
        <v>335</v>
      </c>
      <c r="Z137" s="5" t="s">
        <v>908</v>
      </c>
    </row>
    <row r="138" spans="1:26" x14ac:dyDescent="0.2">
      <c r="A138" s="5">
        <v>103056</v>
      </c>
      <c r="B138" s="5" t="s">
        <v>939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743</v>
      </c>
      <c r="M138" s="5">
        <v>10</v>
      </c>
      <c r="N138" s="5">
        <v>17</v>
      </c>
      <c r="O138" s="5"/>
      <c r="P138" s="5"/>
      <c r="Q138" s="5">
        <f t="shared" si="6"/>
        <v>121</v>
      </c>
      <c r="R138" s="5">
        <v>0</v>
      </c>
      <c r="S138" s="5">
        <v>1</v>
      </c>
      <c r="T138" s="5" t="s">
        <v>989</v>
      </c>
      <c r="U138" s="5"/>
      <c r="V138" s="5"/>
      <c r="W138" s="5"/>
      <c r="X138" s="5" t="s">
        <v>183</v>
      </c>
      <c r="Y138" s="10" t="s">
        <v>335</v>
      </c>
      <c r="Z138" s="5" t="s">
        <v>940</v>
      </c>
    </row>
    <row r="139" spans="1:26" x14ac:dyDescent="0.2">
      <c r="A139" s="13">
        <v>100004</v>
      </c>
      <c r="B139" s="13" t="s">
        <v>154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748</v>
      </c>
      <c r="M139" s="5">
        <v>10</v>
      </c>
      <c r="N139" s="5">
        <v>17</v>
      </c>
      <c r="O139" s="5"/>
      <c r="P139" s="5"/>
      <c r="Q139" s="5">
        <v>0</v>
      </c>
      <c r="R139" s="5">
        <v>0</v>
      </c>
      <c r="S139" s="5">
        <v>1</v>
      </c>
      <c r="T139" s="5" t="s">
        <v>282</v>
      </c>
      <c r="U139" s="5"/>
      <c r="V139" s="5"/>
      <c r="W139" s="5"/>
      <c r="X139" s="5" t="s">
        <v>182</v>
      </c>
      <c r="Y139" s="10" t="s">
        <v>69</v>
      </c>
      <c r="Z139" s="5" t="s">
        <v>405</v>
      </c>
    </row>
    <row r="140" spans="1:26" x14ac:dyDescent="0.2">
      <c r="A140" s="5">
        <v>104001</v>
      </c>
      <c r="B140" s="5" t="s">
        <v>157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748</v>
      </c>
      <c r="M140" s="5">
        <v>10</v>
      </c>
      <c r="N140" s="5">
        <v>17</v>
      </c>
      <c r="O140" s="5"/>
      <c r="P140" s="5"/>
      <c r="Q140" s="5">
        <f t="shared" ref="Q140:Q173" si="8">MAX(25, INT(POWER(2.2,J140/45)))</f>
        <v>701</v>
      </c>
      <c r="R140" s="5">
        <v>0</v>
      </c>
      <c r="S140" s="5">
        <v>1</v>
      </c>
      <c r="T140" s="5" t="s">
        <v>284</v>
      </c>
      <c r="U140" s="5"/>
      <c r="V140" s="5" t="s">
        <v>346</v>
      </c>
      <c r="W140" s="5"/>
      <c r="X140" s="5" t="s">
        <v>193</v>
      </c>
      <c r="Y140" s="10" t="s">
        <v>70</v>
      </c>
      <c r="Z140" s="5" t="s">
        <v>453</v>
      </c>
    </row>
    <row r="141" spans="1:26" x14ac:dyDescent="0.2">
      <c r="A141" s="5">
        <v>104002</v>
      </c>
      <c r="B141" s="5" t="s">
        <v>94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749</v>
      </c>
      <c r="M141" s="5">
        <v>10</v>
      </c>
      <c r="N141" s="5">
        <v>17</v>
      </c>
      <c r="O141" s="5"/>
      <c r="P141" s="5"/>
      <c r="Q141" s="5">
        <f t="shared" si="8"/>
        <v>185</v>
      </c>
      <c r="R141" s="5">
        <v>0</v>
      </c>
      <c r="S141" s="5">
        <v>1</v>
      </c>
      <c r="T141" s="5" t="s">
        <v>284</v>
      </c>
      <c r="U141" s="5"/>
      <c r="V141" s="5" t="s">
        <v>256</v>
      </c>
      <c r="W141" s="5"/>
      <c r="X141" s="5" t="s">
        <v>187</v>
      </c>
      <c r="Y141" s="10" t="s">
        <v>173</v>
      </c>
      <c r="Z141" s="5" t="s">
        <v>545</v>
      </c>
    </row>
    <row r="142" spans="1:26" x14ac:dyDescent="0.2">
      <c r="A142" s="5">
        <v>104003</v>
      </c>
      <c r="B142" s="5" t="s">
        <v>95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750</v>
      </c>
      <c r="M142" s="5">
        <v>10</v>
      </c>
      <c r="N142" s="5">
        <v>17</v>
      </c>
      <c r="O142" s="5"/>
      <c r="P142" s="5"/>
      <c r="Q142" s="5">
        <f t="shared" si="8"/>
        <v>379</v>
      </c>
      <c r="R142" s="5">
        <v>0</v>
      </c>
      <c r="S142" s="5">
        <v>1</v>
      </c>
      <c r="T142" s="5" t="s">
        <v>284</v>
      </c>
      <c r="U142" s="5"/>
      <c r="V142" s="5" t="s">
        <v>262</v>
      </c>
      <c r="W142" s="5"/>
      <c r="X142" s="5" t="s">
        <v>190</v>
      </c>
      <c r="Y142" s="10" t="s">
        <v>69</v>
      </c>
      <c r="Z142" s="5" t="s">
        <v>546</v>
      </c>
    </row>
    <row r="143" spans="1:26" x14ac:dyDescent="0.2">
      <c r="A143" s="5">
        <v>104004</v>
      </c>
      <c r="B143" s="5" t="s">
        <v>207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750</v>
      </c>
      <c r="M143" s="5">
        <v>10</v>
      </c>
      <c r="N143" s="5">
        <v>17</v>
      </c>
      <c r="O143">
        <v>30</v>
      </c>
      <c r="P143" s="5"/>
      <c r="Q143" s="5">
        <f t="shared" si="8"/>
        <v>468</v>
      </c>
      <c r="R143" s="5">
        <v>0</v>
      </c>
      <c r="S143" s="5">
        <v>3</v>
      </c>
      <c r="T143" s="5" t="s">
        <v>289</v>
      </c>
      <c r="U143" s="5"/>
      <c r="V143" s="5" t="s">
        <v>371</v>
      </c>
      <c r="W143" s="5"/>
      <c r="X143" s="5" t="s">
        <v>186</v>
      </c>
      <c r="Y143" s="10" t="s">
        <v>68</v>
      </c>
      <c r="Z143" s="5" t="s">
        <v>547</v>
      </c>
    </row>
    <row r="144" spans="1:26" x14ac:dyDescent="0.2">
      <c r="A144" s="5">
        <v>104005</v>
      </c>
      <c r="B144" s="5" t="s">
        <v>208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751</v>
      </c>
      <c r="M144" s="5">
        <v>10</v>
      </c>
      <c r="N144" s="5">
        <v>17</v>
      </c>
      <c r="O144">
        <v>40</v>
      </c>
      <c r="P144" s="5">
        <v>5</v>
      </c>
      <c r="Q144" s="5">
        <f t="shared" si="8"/>
        <v>95</v>
      </c>
      <c r="R144" s="5">
        <v>0</v>
      </c>
      <c r="S144" s="5">
        <v>3</v>
      </c>
      <c r="T144" s="5" t="s">
        <v>292</v>
      </c>
      <c r="U144" s="5"/>
      <c r="V144" s="5"/>
      <c r="W144" s="5"/>
      <c r="X144" s="5" t="s">
        <v>185</v>
      </c>
      <c r="Y144" s="10" t="s">
        <v>164</v>
      </c>
      <c r="Z144" s="5" t="s">
        <v>548</v>
      </c>
    </row>
    <row r="145" spans="1:26" x14ac:dyDescent="0.2">
      <c r="A145" s="5">
        <v>104006</v>
      </c>
      <c r="B145" s="5" t="s">
        <v>209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748</v>
      </c>
      <c r="M145" s="5">
        <v>10</v>
      </c>
      <c r="N145" s="5">
        <v>17</v>
      </c>
      <c r="O145">
        <v>30</v>
      </c>
      <c r="P145" s="5"/>
      <c r="Q145" s="5">
        <f t="shared" si="8"/>
        <v>54</v>
      </c>
      <c r="R145" s="5">
        <v>0</v>
      </c>
      <c r="S145" s="5">
        <v>3</v>
      </c>
      <c r="T145" s="5" t="s">
        <v>289</v>
      </c>
      <c r="U145" s="5"/>
      <c r="V145" s="5" t="s">
        <v>367</v>
      </c>
      <c r="W145" s="5"/>
      <c r="X145" s="5" t="s">
        <v>186</v>
      </c>
      <c r="Y145" s="10" t="s">
        <v>68</v>
      </c>
      <c r="Z145" s="5" t="s">
        <v>549</v>
      </c>
    </row>
    <row r="146" spans="1:26" x14ac:dyDescent="0.2">
      <c r="A146" s="5">
        <v>104007</v>
      </c>
      <c r="B146" s="5" t="s">
        <v>210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748</v>
      </c>
      <c r="M146" s="5">
        <v>10</v>
      </c>
      <c r="N146" s="5">
        <v>17</v>
      </c>
      <c r="O146" s="5"/>
      <c r="P146" s="5"/>
      <c r="Q146" s="5">
        <f t="shared" si="8"/>
        <v>393</v>
      </c>
      <c r="R146" s="5">
        <v>0</v>
      </c>
      <c r="S146" s="5">
        <v>1</v>
      </c>
      <c r="T146" s="5" t="s">
        <v>286</v>
      </c>
      <c r="U146" s="5"/>
      <c r="V146" s="5"/>
      <c r="W146" s="5"/>
      <c r="X146" s="5" t="s">
        <v>305</v>
      </c>
      <c r="Y146" s="10" t="s">
        <v>69</v>
      </c>
      <c r="Z146" s="5" t="s">
        <v>550</v>
      </c>
    </row>
    <row r="147" spans="1:26" x14ac:dyDescent="0.2">
      <c r="A147" s="5">
        <v>104008</v>
      </c>
      <c r="B147" s="5" t="s">
        <v>211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748</v>
      </c>
      <c r="M147" s="5">
        <v>10</v>
      </c>
      <c r="N147" s="5">
        <v>17</v>
      </c>
      <c r="O147">
        <v>30</v>
      </c>
      <c r="P147" s="5"/>
      <c r="Q147" s="5">
        <f t="shared" si="8"/>
        <v>631</v>
      </c>
      <c r="R147" s="5">
        <v>0</v>
      </c>
      <c r="S147" s="5">
        <v>3</v>
      </c>
      <c r="T147" s="5" t="s">
        <v>289</v>
      </c>
      <c r="U147" s="5"/>
      <c r="V147" s="5" t="s">
        <v>355</v>
      </c>
      <c r="W147" s="5"/>
      <c r="X147" s="5" t="s">
        <v>186</v>
      </c>
      <c r="Y147" s="10" t="s">
        <v>68</v>
      </c>
      <c r="Z147" s="5" t="s">
        <v>551</v>
      </c>
    </row>
    <row r="148" spans="1:26" x14ac:dyDescent="0.2">
      <c r="A148" s="5">
        <v>104009</v>
      </c>
      <c r="B148" s="5" t="s">
        <v>212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749</v>
      </c>
      <c r="M148" s="5">
        <v>10</v>
      </c>
      <c r="N148" s="5">
        <v>17</v>
      </c>
      <c r="O148">
        <v>30</v>
      </c>
      <c r="P148" s="5"/>
      <c r="Q148" s="5">
        <f t="shared" si="8"/>
        <v>163</v>
      </c>
      <c r="R148" s="5">
        <v>0</v>
      </c>
      <c r="S148" s="5">
        <v>3</v>
      </c>
      <c r="T148" s="5" t="s">
        <v>291</v>
      </c>
      <c r="U148" s="5"/>
      <c r="V148" s="5" t="s">
        <v>324</v>
      </c>
      <c r="W148" s="5" t="s">
        <v>376</v>
      </c>
      <c r="X148" s="5" t="s">
        <v>192</v>
      </c>
      <c r="Y148" s="10" t="s">
        <v>330</v>
      </c>
      <c r="Z148" s="5" t="s">
        <v>552</v>
      </c>
    </row>
    <row r="149" spans="1:26" x14ac:dyDescent="0.2">
      <c r="A149" s="5">
        <v>104011</v>
      </c>
      <c r="B149" s="5" t="s">
        <v>633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751</v>
      </c>
      <c r="M149" s="5">
        <v>10</v>
      </c>
      <c r="N149" s="5">
        <v>17</v>
      </c>
      <c r="O149" s="5"/>
      <c r="P149" s="5"/>
      <c r="Q149" s="5">
        <f t="shared" si="8"/>
        <v>68</v>
      </c>
      <c r="R149" s="5">
        <v>0</v>
      </c>
      <c r="S149" s="5">
        <v>1</v>
      </c>
      <c r="T149" s="5" t="s">
        <v>989</v>
      </c>
      <c r="U149" s="5"/>
      <c r="V149" s="5"/>
      <c r="W149" s="5"/>
      <c r="X149" s="5" t="s">
        <v>183</v>
      </c>
      <c r="Y149" s="10" t="s">
        <v>335</v>
      </c>
      <c r="Z149" s="5" t="s">
        <v>823</v>
      </c>
    </row>
    <row r="150" spans="1:26" x14ac:dyDescent="0.2">
      <c r="A150" s="5">
        <v>104012</v>
      </c>
      <c r="B150" s="5" t="s">
        <v>634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748</v>
      </c>
      <c r="M150" s="5">
        <v>10</v>
      </c>
      <c r="N150" s="5">
        <v>17</v>
      </c>
      <c r="O150" s="5"/>
      <c r="P150" s="5"/>
      <c r="Q150" s="5">
        <f t="shared" si="8"/>
        <v>25</v>
      </c>
      <c r="R150" s="5">
        <v>0</v>
      </c>
      <c r="S150" s="5">
        <v>1</v>
      </c>
      <c r="T150" s="5" t="s">
        <v>989</v>
      </c>
      <c r="U150" s="5"/>
      <c r="V150" s="5"/>
      <c r="W150" s="5"/>
      <c r="X150" s="5" t="s">
        <v>183</v>
      </c>
      <c r="Y150" s="10" t="s">
        <v>335</v>
      </c>
      <c r="Z150" s="5" t="s">
        <v>822</v>
      </c>
    </row>
    <row r="151" spans="1:26" x14ac:dyDescent="0.2">
      <c r="A151" s="5">
        <v>104013</v>
      </c>
      <c r="B151" s="5" t="s">
        <v>635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749</v>
      </c>
      <c r="M151" s="5">
        <v>10</v>
      </c>
      <c r="N151" s="5">
        <v>17</v>
      </c>
      <c r="O151" s="5"/>
      <c r="P151" s="5"/>
      <c r="Q151" s="5">
        <f t="shared" si="8"/>
        <v>27</v>
      </c>
      <c r="R151" s="5">
        <v>0</v>
      </c>
      <c r="S151" s="5">
        <v>1</v>
      </c>
      <c r="T151" s="5" t="s">
        <v>989</v>
      </c>
      <c r="U151" s="5"/>
      <c r="V151" s="5"/>
      <c r="W151" s="5"/>
      <c r="X151" s="5" t="s">
        <v>183</v>
      </c>
      <c r="Y151" s="10" t="s">
        <v>335</v>
      </c>
      <c r="Z151" s="5" t="s">
        <v>821</v>
      </c>
    </row>
    <row r="152" spans="1:26" x14ac:dyDescent="0.2">
      <c r="A152" s="5">
        <v>104014</v>
      </c>
      <c r="B152" s="5" t="s">
        <v>636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749</v>
      </c>
      <c r="M152" s="5">
        <v>10</v>
      </c>
      <c r="N152" s="5">
        <v>17</v>
      </c>
      <c r="O152" s="5"/>
      <c r="P152" s="5"/>
      <c r="Q152" s="5">
        <f t="shared" si="8"/>
        <v>61</v>
      </c>
      <c r="R152" s="5">
        <v>0</v>
      </c>
      <c r="S152" s="5">
        <v>1</v>
      </c>
      <c r="T152" s="5" t="s">
        <v>989</v>
      </c>
      <c r="U152" s="5"/>
      <c r="V152" s="5"/>
      <c r="W152" s="5"/>
      <c r="X152" s="5" t="s">
        <v>183</v>
      </c>
      <c r="Y152" s="10" t="s">
        <v>335</v>
      </c>
      <c r="Z152" s="5" t="s">
        <v>923</v>
      </c>
    </row>
    <row r="153" spans="1:26" x14ac:dyDescent="0.2">
      <c r="A153" s="5">
        <v>104015</v>
      </c>
      <c r="B153" s="5" t="s">
        <v>637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748</v>
      </c>
      <c r="M153" s="5">
        <v>10</v>
      </c>
      <c r="N153" s="5">
        <v>17</v>
      </c>
      <c r="O153" s="5"/>
      <c r="P153" s="5"/>
      <c r="Q153" s="5">
        <f t="shared" si="8"/>
        <v>74</v>
      </c>
      <c r="R153" s="5">
        <v>0</v>
      </c>
      <c r="S153" s="5">
        <v>1</v>
      </c>
      <c r="T153" s="5" t="s">
        <v>989</v>
      </c>
      <c r="U153" s="5"/>
      <c r="V153" s="5"/>
      <c r="W153" s="5"/>
      <c r="X153" s="5" t="s">
        <v>183</v>
      </c>
      <c r="Y153" s="10" t="s">
        <v>335</v>
      </c>
      <c r="Z153" s="5" t="s">
        <v>924</v>
      </c>
    </row>
    <row r="154" spans="1:26" x14ac:dyDescent="0.2">
      <c r="A154" s="5">
        <v>104016</v>
      </c>
      <c r="B154" s="5" t="s">
        <v>927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751</v>
      </c>
      <c r="M154" s="5">
        <v>10</v>
      </c>
      <c r="N154" s="5">
        <v>17</v>
      </c>
      <c r="O154" s="5"/>
      <c r="P154" s="5"/>
      <c r="Q154" s="5">
        <f t="shared" si="8"/>
        <v>476</v>
      </c>
      <c r="R154" s="5">
        <v>0</v>
      </c>
      <c r="S154" s="5">
        <v>1</v>
      </c>
      <c r="T154" s="5" t="s">
        <v>989</v>
      </c>
      <c r="U154" s="5"/>
      <c r="V154" s="5"/>
      <c r="W154" s="5"/>
      <c r="X154" s="5" t="s">
        <v>183</v>
      </c>
      <c r="Y154" s="10" t="s">
        <v>335</v>
      </c>
      <c r="Z154" s="5" t="s">
        <v>928</v>
      </c>
    </row>
    <row r="155" spans="1:26" x14ac:dyDescent="0.2">
      <c r="A155" s="5">
        <v>104017</v>
      </c>
      <c r="B155" s="5" t="s">
        <v>638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749</v>
      </c>
      <c r="M155" s="5">
        <v>10</v>
      </c>
      <c r="N155" s="5">
        <v>17</v>
      </c>
      <c r="O155" s="5"/>
      <c r="P155" s="5"/>
      <c r="Q155" s="5">
        <f t="shared" si="8"/>
        <v>102</v>
      </c>
      <c r="R155" s="5">
        <v>0</v>
      </c>
      <c r="S155" s="5">
        <v>1</v>
      </c>
      <c r="T155" s="5" t="s">
        <v>989</v>
      </c>
      <c r="U155" s="5"/>
      <c r="V155" s="5"/>
      <c r="W155" s="5"/>
      <c r="X155" s="5" t="s">
        <v>183</v>
      </c>
      <c r="Y155" s="10" t="s">
        <v>335</v>
      </c>
      <c r="Z155" s="5" t="s">
        <v>840</v>
      </c>
    </row>
    <row r="156" spans="1:26" x14ac:dyDescent="0.2">
      <c r="A156" s="5">
        <v>104018</v>
      </c>
      <c r="B156" s="5" t="s">
        <v>639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750</v>
      </c>
      <c r="M156" s="5">
        <v>10</v>
      </c>
      <c r="N156" s="5">
        <v>17</v>
      </c>
      <c r="O156" s="5"/>
      <c r="P156" s="5"/>
      <c r="Q156" s="5">
        <f t="shared" si="8"/>
        <v>67</v>
      </c>
      <c r="R156" s="5">
        <v>0</v>
      </c>
      <c r="S156" s="5">
        <v>1</v>
      </c>
      <c r="T156" s="5" t="s">
        <v>989</v>
      </c>
      <c r="U156" s="5"/>
      <c r="V156" s="5"/>
      <c r="W156" s="5"/>
      <c r="X156" s="5" t="s">
        <v>183</v>
      </c>
      <c r="Y156" s="10" t="s">
        <v>335</v>
      </c>
      <c r="Z156" s="5" t="s">
        <v>841</v>
      </c>
    </row>
    <row r="157" spans="1:26" x14ac:dyDescent="0.2">
      <c r="A157" s="5">
        <v>104019</v>
      </c>
      <c r="B157" s="5" t="s">
        <v>640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750</v>
      </c>
      <c r="M157" s="5">
        <v>10</v>
      </c>
      <c r="N157" s="5">
        <v>17</v>
      </c>
      <c r="O157" s="5"/>
      <c r="P157" s="5"/>
      <c r="Q157" s="5">
        <f t="shared" si="8"/>
        <v>240</v>
      </c>
      <c r="R157" s="5">
        <v>0</v>
      </c>
      <c r="S157" s="5">
        <v>1</v>
      </c>
      <c r="T157" s="5" t="s">
        <v>989</v>
      </c>
      <c r="U157" s="5"/>
      <c r="V157" s="5"/>
      <c r="W157" s="5"/>
      <c r="X157" s="5" t="s">
        <v>183</v>
      </c>
      <c r="Y157" s="10" t="s">
        <v>335</v>
      </c>
      <c r="Z157" s="5" t="s">
        <v>857</v>
      </c>
    </row>
    <row r="158" spans="1:26" x14ac:dyDescent="0.2">
      <c r="A158" s="5">
        <v>104020</v>
      </c>
      <c r="B158" s="5" t="s">
        <v>641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750</v>
      </c>
      <c r="M158" s="5">
        <v>10</v>
      </c>
      <c r="N158" s="5">
        <v>17</v>
      </c>
      <c r="O158" s="5"/>
      <c r="P158" s="5"/>
      <c r="Q158" s="5">
        <f t="shared" si="8"/>
        <v>421</v>
      </c>
      <c r="R158" s="5">
        <v>0</v>
      </c>
      <c r="S158" s="5">
        <v>1</v>
      </c>
      <c r="T158" s="5" t="s">
        <v>989</v>
      </c>
      <c r="U158" s="5"/>
      <c r="V158" s="5"/>
      <c r="W158" s="5"/>
      <c r="X158" s="5" t="s">
        <v>183</v>
      </c>
      <c r="Y158" s="10" t="s">
        <v>335</v>
      </c>
      <c r="Z158" s="5" t="s">
        <v>820</v>
      </c>
    </row>
    <row r="159" spans="1:26" x14ac:dyDescent="0.2">
      <c r="A159" s="5">
        <v>104021</v>
      </c>
      <c r="B159" s="5" t="s">
        <v>642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750</v>
      </c>
      <c r="M159" s="5">
        <v>10</v>
      </c>
      <c r="N159" s="5">
        <v>17</v>
      </c>
      <c r="O159" s="5"/>
      <c r="P159" s="5"/>
      <c r="Q159" s="5">
        <f t="shared" si="8"/>
        <v>51</v>
      </c>
      <c r="R159" s="5">
        <v>0</v>
      </c>
      <c r="S159" s="5">
        <v>1</v>
      </c>
      <c r="T159" s="5" t="s">
        <v>989</v>
      </c>
      <c r="U159" s="5"/>
      <c r="V159" s="5"/>
      <c r="W159" s="5"/>
      <c r="X159" s="5" t="s">
        <v>183</v>
      </c>
      <c r="Y159" s="10" t="s">
        <v>335</v>
      </c>
      <c r="Z159" s="5" t="s">
        <v>851</v>
      </c>
    </row>
    <row r="160" spans="1:26" x14ac:dyDescent="0.2">
      <c r="A160" s="5">
        <v>104022</v>
      </c>
      <c r="B160" s="5" t="s">
        <v>643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751</v>
      </c>
      <c r="M160" s="5">
        <v>10</v>
      </c>
      <c r="N160" s="5">
        <v>17</v>
      </c>
      <c r="O160" s="5"/>
      <c r="P160" s="5"/>
      <c r="Q160" s="5">
        <f t="shared" si="8"/>
        <v>59</v>
      </c>
      <c r="R160" s="5">
        <v>0</v>
      </c>
      <c r="S160" s="5">
        <v>1</v>
      </c>
      <c r="T160" s="5" t="s">
        <v>989</v>
      </c>
      <c r="U160" s="5"/>
      <c r="V160" s="5"/>
      <c r="W160" s="5"/>
      <c r="X160" s="5" t="s">
        <v>183</v>
      </c>
      <c r="Y160" s="10" t="s">
        <v>335</v>
      </c>
      <c r="Z160" s="5" t="s">
        <v>858</v>
      </c>
    </row>
    <row r="161" spans="1:27" x14ac:dyDescent="0.2">
      <c r="A161" s="5">
        <v>104023</v>
      </c>
      <c r="B161" s="5" t="s">
        <v>644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751</v>
      </c>
      <c r="M161" s="5">
        <v>10</v>
      </c>
      <c r="N161" s="5">
        <v>17</v>
      </c>
      <c r="O161" s="5"/>
      <c r="P161" s="5"/>
      <c r="Q161" s="5">
        <f t="shared" si="8"/>
        <v>653</v>
      </c>
      <c r="R161" s="5">
        <v>0</v>
      </c>
      <c r="S161" s="5">
        <v>1</v>
      </c>
      <c r="T161" s="5" t="s">
        <v>989</v>
      </c>
      <c r="U161" s="5"/>
      <c r="V161" s="5"/>
      <c r="W161" s="5"/>
      <c r="X161" s="5" t="s">
        <v>183</v>
      </c>
      <c r="Y161" s="10" t="s">
        <v>335</v>
      </c>
      <c r="Z161" s="5" t="s">
        <v>852</v>
      </c>
    </row>
    <row r="162" spans="1:27" x14ac:dyDescent="0.2">
      <c r="A162" s="5">
        <v>104024</v>
      </c>
      <c r="B162" s="5" t="s">
        <v>645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748</v>
      </c>
      <c r="M162" s="5">
        <v>10</v>
      </c>
      <c r="N162" s="5">
        <v>17</v>
      </c>
      <c r="O162" s="5"/>
      <c r="P162" s="5"/>
      <c r="Q162" s="5">
        <f t="shared" si="8"/>
        <v>93</v>
      </c>
      <c r="R162" s="5">
        <v>0</v>
      </c>
      <c r="S162" s="5">
        <v>1</v>
      </c>
      <c r="T162" s="5" t="s">
        <v>989</v>
      </c>
      <c r="U162" s="5"/>
      <c r="V162" s="5"/>
      <c r="W162" s="5"/>
      <c r="X162" s="5" t="s">
        <v>183</v>
      </c>
      <c r="Y162" s="10" t="s">
        <v>335</v>
      </c>
      <c r="Z162" s="5" t="s">
        <v>929</v>
      </c>
    </row>
    <row r="163" spans="1:27" x14ac:dyDescent="0.2">
      <c r="A163" s="5">
        <v>104025</v>
      </c>
      <c r="B163" s="5" t="s">
        <v>930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750</v>
      </c>
      <c r="M163" s="5">
        <v>10</v>
      </c>
      <c r="N163" s="5">
        <v>17</v>
      </c>
      <c r="O163" s="5"/>
      <c r="P163" s="5"/>
      <c r="Q163" s="5">
        <f t="shared" si="8"/>
        <v>77</v>
      </c>
      <c r="R163" s="5">
        <v>0</v>
      </c>
      <c r="S163" s="5">
        <v>1</v>
      </c>
      <c r="T163" s="5" t="s">
        <v>989</v>
      </c>
      <c r="U163" s="5"/>
      <c r="V163" s="5"/>
      <c r="W163" s="5"/>
      <c r="X163" s="5" t="s">
        <v>183</v>
      </c>
      <c r="Y163" s="10" t="s">
        <v>335</v>
      </c>
      <c r="Z163" s="5" t="s">
        <v>931</v>
      </c>
    </row>
    <row r="164" spans="1:27" x14ac:dyDescent="0.2">
      <c r="A164" s="5">
        <v>104026</v>
      </c>
      <c r="B164" s="5" t="s">
        <v>646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748</v>
      </c>
      <c r="M164" s="5">
        <v>10</v>
      </c>
      <c r="N164" s="5">
        <v>17</v>
      </c>
      <c r="O164" s="5"/>
      <c r="P164" s="5"/>
      <c r="Q164" s="5">
        <f t="shared" si="8"/>
        <v>166</v>
      </c>
      <c r="R164" s="5">
        <v>0</v>
      </c>
      <c r="S164" s="5">
        <v>1</v>
      </c>
      <c r="T164" s="5" t="s">
        <v>989</v>
      </c>
      <c r="U164" s="5"/>
      <c r="V164" s="5"/>
      <c r="W164" s="5"/>
      <c r="X164" s="5" t="s">
        <v>183</v>
      </c>
      <c r="Y164" s="10" t="s">
        <v>335</v>
      </c>
      <c r="Z164" s="5" t="s">
        <v>860</v>
      </c>
    </row>
    <row r="165" spans="1:27" x14ac:dyDescent="0.2">
      <c r="A165" s="5">
        <v>104027</v>
      </c>
      <c r="B165" s="5" t="s">
        <v>647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750</v>
      </c>
      <c r="M165" s="5">
        <v>10</v>
      </c>
      <c r="N165" s="5">
        <v>17</v>
      </c>
      <c r="O165" s="5"/>
      <c r="P165" s="5"/>
      <c r="Q165" s="5">
        <f t="shared" si="8"/>
        <v>172</v>
      </c>
      <c r="R165" s="5">
        <v>0</v>
      </c>
      <c r="S165" s="5">
        <v>1</v>
      </c>
      <c r="T165" s="5" t="s">
        <v>989</v>
      </c>
      <c r="U165" s="5"/>
      <c r="V165" s="5"/>
      <c r="W165" s="5"/>
      <c r="X165" s="5" t="s">
        <v>183</v>
      </c>
      <c r="Y165" s="10" t="s">
        <v>335</v>
      </c>
      <c r="Z165" s="5" t="s">
        <v>824</v>
      </c>
    </row>
    <row r="166" spans="1:27" x14ac:dyDescent="0.2">
      <c r="A166" s="5">
        <v>104028</v>
      </c>
      <c r="B166" s="5" t="s">
        <v>648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751</v>
      </c>
      <c r="M166" s="5">
        <v>10</v>
      </c>
      <c r="N166" s="5">
        <v>17</v>
      </c>
      <c r="O166" s="5"/>
      <c r="P166" s="5"/>
      <c r="Q166" s="5">
        <f t="shared" si="8"/>
        <v>158</v>
      </c>
      <c r="R166" s="5">
        <v>0</v>
      </c>
      <c r="S166" s="5">
        <v>1</v>
      </c>
      <c r="T166" s="5" t="s">
        <v>989</v>
      </c>
      <c r="U166" s="5"/>
      <c r="V166" s="5"/>
      <c r="W166" s="5"/>
      <c r="X166" s="5" t="s">
        <v>183</v>
      </c>
      <c r="Y166" s="10" t="s">
        <v>335</v>
      </c>
      <c r="Z166" s="5" t="s">
        <v>842</v>
      </c>
      <c r="AA166" t="e">
        <f>COUNTIF([1]Sheet1!#REF!, "*"&amp; A166&amp;"*")</f>
        <v>#REF!</v>
      </c>
    </row>
    <row r="167" spans="1:27" x14ac:dyDescent="0.2">
      <c r="A167" s="5">
        <v>104029</v>
      </c>
      <c r="B167" s="5" t="s">
        <v>649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749</v>
      </c>
      <c r="M167" s="5">
        <v>10</v>
      </c>
      <c r="N167" s="5">
        <v>17</v>
      </c>
      <c r="O167" s="5"/>
      <c r="P167" s="5"/>
      <c r="Q167" s="5">
        <f t="shared" si="8"/>
        <v>178</v>
      </c>
      <c r="R167" s="5">
        <v>0</v>
      </c>
      <c r="S167" s="5">
        <v>1</v>
      </c>
      <c r="T167" s="5" t="s">
        <v>989</v>
      </c>
      <c r="U167" s="5"/>
      <c r="V167" s="5"/>
      <c r="W167" s="5"/>
      <c r="X167" s="5" t="s">
        <v>183</v>
      </c>
      <c r="Y167" s="10" t="s">
        <v>335</v>
      </c>
      <c r="Z167" s="5" t="s">
        <v>862</v>
      </c>
      <c r="AA167" t="e">
        <f>COUNTIF([1]Sheet1!#REF!, "*"&amp; A167&amp;"*")</f>
        <v>#REF!</v>
      </c>
    </row>
    <row r="168" spans="1:27" x14ac:dyDescent="0.2">
      <c r="A168" s="5">
        <v>104030</v>
      </c>
      <c r="B168" s="5" t="s">
        <v>650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748</v>
      </c>
      <c r="M168" s="5">
        <v>10</v>
      </c>
      <c r="N168" s="5">
        <v>17</v>
      </c>
      <c r="O168" s="5"/>
      <c r="P168" s="5"/>
      <c r="Q168" s="5">
        <f t="shared" si="8"/>
        <v>330</v>
      </c>
      <c r="R168" s="5">
        <v>0</v>
      </c>
      <c r="S168" s="5">
        <v>1</v>
      </c>
      <c r="T168" s="5" t="s">
        <v>989</v>
      </c>
      <c r="U168" s="5"/>
      <c r="V168" s="5"/>
      <c r="W168" s="5"/>
      <c r="X168" s="5" t="s">
        <v>183</v>
      </c>
      <c r="Y168" s="10" t="s">
        <v>335</v>
      </c>
      <c r="Z168" s="5" t="s">
        <v>859</v>
      </c>
      <c r="AA168" t="e">
        <f>COUNTIF([1]Sheet1!#REF!, "*"&amp; A168&amp;"*")</f>
        <v>#REF!</v>
      </c>
    </row>
    <row r="169" spans="1:27" x14ac:dyDescent="0.2">
      <c r="A169" s="5">
        <v>104031</v>
      </c>
      <c r="B169" s="5" t="s">
        <v>651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749</v>
      </c>
      <c r="M169" s="5">
        <v>10</v>
      </c>
      <c r="N169" s="5">
        <v>17</v>
      </c>
      <c r="O169" s="5"/>
      <c r="P169" s="5"/>
      <c r="Q169" s="5">
        <f t="shared" si="8"/>
        <v>213</v>
      </c>
      <c r="R169" s="5">
        <v>0</v>
      </c>
      <c r="S169" s="5">
        <v>1</v>
      </c>
      <c r="T169" s="5" t="s">
        <v>989</v>
      </c>
      <c r="U169" s="5"/>
      <c r="V169" s="5"/>
      <c r="W169" s="5"/>
      <c r="X169" s="5" t="s">
        <v>183</v>
      </c>
      <c r="Y169" s="10" t="s">
        <v>335</v>
      </c>
      <c r="Z169" s="5" t="s">
        <v>861</v>
      </c>
      <c r="AA169" t="e">
        <f>COUNTIF([1]Sheet1!#REF!, "*"&amp; A169&amp;"*")</f>
        <v>#REF!</v>
      </c>
    </row>
    <row r="170" spans="1:27" x14ac:dyDescent="0.2">
      <c r="A170" s="5">
        <v>104032</v>
      </c>
      <c r="B170" s="5" t="s">
        <v>652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751</v>
      </c>
      <c r="M170" s="5">
        <v>10</v>
      </c>
      <c r="N170" s="5">
        <v>17</v>
      </c>
      <c r="O170" s="5"/>
      <c r="P170" s="5"/>
      <c r="Q170" s="5">
        <f t="shared" si="8"/>
        <v>102</v>
      </c>
      <c r="R170" s="5">
        <v>0</v>
      </c>
      <c r="S170" s="5">
        <v>1</v>
      </c>
      <c r="T170" s="5" t="s">
        <v>989</v>
      </c>
      <c r="U170" s="5"/>
      <c r="V170" s="5"/>
      <c r="W170" s="5"/>
      <c r="X170" s="5" t="s">
        <v>183</v>
      </c>
      <c r="Y170" s="10" t="s">
        <v>335</v>
      </c>
      <c r="Z170" s="5" t="s">
        <v>819</v>
      </c>
      <c r="AA170" t="e">
        <f>COUNTIF([1]Sheet1!#REF!, "*"&amp; A170&amp;"*")</f>
        <v>#REF!</v>
      </c>
    </row>
    <row r="171" spans="1:27" x14ac:dyDescent="0.2">
      <c r="A171" s="5">
        <v>104033</v>
      </c>
      <c r="B171" s="5" t="s">
        <v>653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749</v>
      </c>
      <c r="M171" s="5">
        <v>10</v>
      </c>
      <c r="N171" s="5">
        <v>17</v>
      </c>
      <c r="O171" s="5"/>
      <c r="P171" s="5"/>
      <c r="Q171" s="5">
        <f t="shared" si="8"/>
        <v>137</v>
      </c>
      <c r="R171" s="5">
        <v>0</v>
      </c>
      <c r="S171" s="5">
        <v>1</v>
      </c>
      <c r="T171" s="5" t="s">
        <v>989</v>
      </c>
      <c r="U171" s="5"/>
      <c r="V171" s="5"/>
      <c r="W171" s="5"/>
      <c r="X171" s="5" t="s">
        <v>183</v>
      </c>
      <c r="Y171" s="10" t="s">
        <v>335</v>
      </c>
      <c r="Z171" s="5" t="s">
        <v>816</v>
      </c>
      <c r="AA171" t="e">
        <f>COUNTIF([1]Sheet1!#REF!, "*"&amp; A171&amp;"*")</f>
        <v>#REF!</v>
      </c>
    </row>
    <row r="172" spans="1:27" x14ac:dyDescent="0.2">
      <c r="A172" s="5">
        <v>104034</v>
      </c>
      <c r="B172" s="5" t="s">
        <v>654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749</v>
      </c>
      <c r="M172" s="5">
        <v>10</v>
      </c>
      <c r="N172" s="5">
        <v>17</v>
      </c>
      <c r="O172" s="5"/>
      <c r="P172" s="5"/>
      <c r="Q172" s="5">
        <f t="shared" si="8"/>
        <v>70</v>
      </c>
      <c r="R172" s="5">
        <v>0</v>
      </c>
      <c r="S172" s="5">
        <v>1</v>
      </c>
      <c r="T172" s="5" t="s">
        <v>989</v>
      </c>
      <c r="U172" s="5"/>
      <c r="V172" s="5"/>
      <c r="W172" s="5"/>
      <c r="X172" s="5" t="s">
        <v>183</v>
      </c>
      <c r="Y172" s="10" t="s">
        <v>335</v>
      </c>
      <c r="Z172" s="5" t="s">
        <v>817</v>
      </c>
      <c r="AA172" t="e">
        <f>COUNTIF([1]Sheet1!#REF!, "*"&amp; A172&amp;"*")</f>
        <v>#REF!</v>
      </c>
    </row>
    <row r="173" spans="1:27" x14ac:dyDescent="0.2">
      <c r="A173" s="5">
        <v>104035</v>
      </c>
      <c r="B173" s="5" t="s">
        <v>655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751</v>
      </c>
      <c r="M173" s="5">
        <v>10</v>
      </c>
      <c r="N173" s="5">
        <v>17</v>
      </c>
      <c r="O173" s="5"/>
      <c r="P173" s="5"/>
      <c r="Q173" s="5">
        <f t="shared" si="8"/>
        <v>71</v>
      </c>
      <c r="R173" s="5">
        <v>0</v>
      </c>
      <c r="S173" s="5">
        <v>1</v>
      </c>
      <c r="T173" s="5" t="s">
        <v>989</v>
      </c>
      <c r="U173" s="5"/>
      <c r="V173" s="5"/>
      <c r="W173" s="5"/>
      <c r="X173" s="5" t="s">
        <v>183</v>
      </c>
      <c r="Y173" s="10" t="s">
        <v>335</v>
      </c>
      <c r="Z173" s="5" t="s">
        <v>818</v>
      </c>
      <c r="AA173" t="e">
        <f>COUNTIF([1]Sheet1!#REF!, "*"&amp; A173&amp;"*")</f>
        <v>#REF!</v>
      </c>
    </row>
    <row r="174" spans="1:27" x14ac:dyDescent="0.2">
      <c r="A174" s="13">
        <v>100005</v>
      </c>
      <c r="B174" s="13" t="s">
        <v>142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673</v>
      </c>
      <c r="M174" s="5">
        <v>10</v>
      </c>
      <c r="N174" s="5">
        <v>17</v>
      </c>
      <c r="O174" s="5"/>
      <c r="P174" s="5"/>
      <c r="Q174" s="5">
        <v>0</v>
      </c>
      <c r="R174" s="5">
        <v>0</v>
      </c>
      <c r="S174" s="5">
        <v>1</v>
      </c>
      <c r="T174" s="5" t="s">
        <v>282</v>
      </c>
      <c r="U174" s="5"/>
      <c r="V174" s="5"/>
      <c r="W174" s="5"/>
      <c r="X174" s="5" t="s">
        <v>182</v>
      </c>
      <c r="Y174" s="10" t="s">
        <v>69</v>
      </c>
      <c r="Z174" s="5" t="s">
        <v>404</v>
      </c>
      <c r="AA174" t="e">
        <f>COUNTIF([1]Sheet1!#REF!, "*"&amp; A174&amp;"*")</f>
        <v>#REF!</v>
      </c>
    </row>
    <row r="175" spans="1:27" x14ac:dyDescent="0.2">
      <c r="A175" s="5">
        <v>105001</v>
      </c>
      <c r="B175" s="5" t="s">
        <v>20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674</v>
      </c>
      <c r="M175" s="5">
        <v>10</v>
      </c>
      <c r="N175" s="5">
        <v>17</v>
      </c>
      <c r="O175" s="5"/>
      <c r="P175" s="5"/>
      <c r="Q175" s="5">
        <f t="shared" ref="Q175:Q219" si="9">MAX(25, INT(POWER(2.2,J175/45)))</f>
        <v>1049</v>
      </c>
      <c r="R175" s="5">
        <v>0</v>
      </c>
      <c r="S175" s="5">
        <v>1</v>
      </c>
      <c r="T175" s="5" t="s">
        <v>296</v>
      </c>
      <c r="U175" s="5"/>
      <c r="V175" s="5" t="s">
        <v>344</v>
      </c>
      <c r="W175" s="5"/>
      <c r="X175" s="5" t="s">
        <v>183</v>
      </c>
      <c r="Y175" s="10" t="s">
        <v>69</v>
      </c>
      <c r="Z175" s="5" t="s">
        <v>449</v>
      </c>
      <c r="AA175" t="e">
        <f>COUNTIF([1]Sheet1!#REF!, "*"&amp; A175&amp;"*")</f>
        <v>#REF!</v>
      </c>
    </row>
    <row r="176" spans="1:27" x14ac:dyDescent="0.2">
      <c r="A176" s="5">
        <v>105002</v>
      </c>
      <c r="B176" s="5" t="s">
        <v>93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673</v>
      </c>
      <c r="M176" s="5">
        <v>10</v>
      </c>
      <c r="N176" s="5">
        <v>17</v>
      </c>
      <c r="O176" s="5"/>
      <c r="P176" s="5"/>
      <c r="Q176" s="5">
        <f t="shared" si="9"/>
        <v>113</v>
      </c>
      <c r="R176" s="5">
        <v>0</v>
      </c>
      <c r="S176" s="5">
        <v>1</v>
      </c>
      <c r="T176" s="5" t="s">
        <v>284</v>
      </c>
      <c r="U176" s="5"/>
      <c r="V176" s="5" t="s">
        <v>347</v>
      </c>
      <c r="W176" s="5" t="s">
        <v>383</v>
      </c>
      <c r="X176" s="5" t="s">
        <v>187</v>
      </c>
      <c r="Y176" s="10" t="s">
        <v>337</v>
      </c>
      <c r="Z176" s="5" t="s">
        <v>526</v>
      </c>
      <c r="AA176" t="e">
        <f>COUNTIF([1]Sheet1!#REF!, "*"&amp; A176&amp;"*")</f>
        <v>#REF!</v>
      </c>
    </row>
    <row r="177" spans="1:27" x14ac:dyDescent="0.2">
      <c r="A177" s="5">
        <v>105003</v>
      </c>
      <c r="B177" s="5" t="s">
        <v>231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673</v>
      </c>
      <c r="M177" s="5">
        <v>10</v>
      </c>
      <c r="N177" s="5">
        <v>17</v>
      </c>
      <c r="O177" s="5"/>
      <c r="P177" s="5"/>
      <c r="Q177" s="5">
        <f t="shared" si="9"/>
        <v>297</v>
      </c>
      <c r="R177" s="5">
        <v>0</v>
      </c>
      <c r="S177" s="5">
        <v>1</v>
      </c>
      <c r="T177" s="5" t="s">
        <v>284</v>
      </c>
      <c r="U177" s="5"/>
      <c r="V177" s="5" t="s">
        <v>389</v>
      </c>
      <c r="W177" s="5"/>
      <c r="X177" s="5" t="s">
        <v>187</v>
      </c>
      <c r="Y177" s="10" t="s">
        <v>69</v>
      </c>
      <c r="Z177" s="5" t="s">
        <v>527</v>
      </c>
      <c r="AA177" t="e">
        <f>COUNTIF([1]Sheet1!#REF!, "*"&amp; A177&amp;"*")</f>
        <v>#REF!</v>
      </c>
    </row>
    <row r="178" spans="1:27" x14ac:dyDescent="0.2">
      <c r="A178" s="5">
        <v>105004</v>
      </c>
      <c r="B178" s="5" t="s">
        <v>34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675</v>
      </c>
      <c r="M178" s="5">
        <v>10</v>
      </c>
      <c r="N178" s="5">
        <v>17</v>
      </c>
      <c r="O178">
        <v>30</v>
      </c>
      <c r="P178" s="5"/>
      <c r="Q178" s="5">
        <f t="shared" si="9"/>
        <v>713</v>
      </c>
      <c r="R178" s="5">
        <v>0</v>
      </c>
      <c r="S178" s="5">
        <v>3</v>
      </c>
      <c r="T178" s="5" t="s">
        <v>289</v>
      </c>
      <c r="U178" s="5"/>
      <c r="V178" s="5" t="s">
        <v>301</v>
      </c>
      <c r="W178" s="5"/>
      <c r="X178" s="5" t="s">
        <v>186</v>
      </c>
      <c r="Y178" s="10" t="s">
        <v>68</v>
      </c>
      <c r="Z178" s="5" t="s">
        <v>528</v>
      </c>
      <c r="AA178" t="e">
        <f>COUNTIF([1]Sheet1!#REF!, "*"&amp; A178&amp;"*")</f>
        <v>#REF!</v>
      </c>
    </row>
    <row r="179" spans="1:27" x14ac:dyDescent="0.2">
      <c r="A179" s="5">
        <v>105005</v>
      </c>
      <c r="B179" s="5" t="s">
        <v>106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673</v>
      </c>
      <c r="M179" s="5">
        <v>10</v>
      </c>
      <c r="N179" s="5">
        <v>17</v>
      </c>
      <c r="O179">
        <v>30</v>
      </c>
      <c r="P179" s="5"/>
      <c r="Q179" s="5">
        <f t="shared" si="9"/>
        <v>373</v>
      </c>
      <c r="R179" s="5">
        <v>0</v>
      </c>
      <c r="S179" s="5">
        <v>3</v>
      </c>
      <c r="T179" s="5" t="s">
        <v>293</v>
      </c>
      <c r="U179" s="5"/>
      <c r="V179" s="5" t="s">
        <v>362</v>
      </c>
      <c r="W179" s="5"/>
      <c r="X179" s="5" t="s">
        <v>192</v>
      </c>
      <c r="Y179" s="10" t="s">
        <v>68</v>
      </c>
      <c r="Z179" s="5" t="s">
        <v>529</v>
      </c>
      <c r="AA179" t="e">
        <f>COUNTIF([1]Sheet1!#REF!, "*"&amp; A179&amp;"*")</f>
        <v>#REF!</v>
      </c>
    </row>
    <row r="180" spans="1:27" x14ac:dyDescent="0.2">
      <c r="A180" s="5">
        <v>105006</v>
      </c>
      <c r="B180" s="5" t="s">
        <v>140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674</v>
      </c>
      <c r="M180" s="5">
        <v>10</v>
      </c>
      <c r="N180" s="5">
        <v>17</v>
      </c>
      <c r="O180" s="5"/>
      <c r="P180" s="5"/>
      <c r="Q180" s="5">
        <f t="shared" si="9"/>
        <v>341</v>
      </c>
      <c r="R180" s="5">
        <v>0</v>
      </c>
      <c r="S180" s="5">
        <v>1</v>
      </c>
      <c r="T180" s="5" t="s">
        <v>296</v>
      </c>
      <c r="U180" s="5"/>
      <c r="V180" s="5" t="s">
        <v>375</v>
      </c>
      <c r="W180" s="5"/>
      <c r="X180" s="5" t="s">
        <v>310</v>
      </c>
      <c r="Y180" s="10" t="s">
        <v>69</v>
      </c>
      <c r="Z180" s="5" t="s">
        <v>530</v>
      </c>
      <c r="AA180" t="e">
        <f>COUNTIF([1]Sheet1!#REF!, "*"&amp; A180&amp;"*")</f>
        <v>#REF!</v>
      </c>
    </row>
    <row r="181" spans="1:27" x14ac:dyDescent="0.2">
      <c r="A181" s="5">
        <v>105007</v>
      </c>
      <c r="B181" s="5" t="s">
        <v>145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674</v>
      </c>
      <c r="M181" s="5">
        <v>10</v>
      </c>
      <c r="N181" s="5">
        <v>17</v>
      </c>
      <c r="O181">
        <v>26</v>
      </c>
      <c r="P181" s="5">
        <v>8</v>
      </c>
      <c r="Q181" s="5">
        <f t="shared" si="9"/>
        <v>373</v>
      </c>
      <c r="R181" s="5">
        <v>0</v>
      </c>
      <c r="S181" s="5">
        <v>3</v>
      </c>
      <c r="T181" s="5" t="s">
        <v>287</v>
      </c>
      <c r="U181" s="5"/>
      <c r="V181" s="5"/>
      <c r="W181" s="5"/>
      <c r="X181" s="5" t="s">
        <v>185</v>
      </c>
      <c r="Y181" s="10" t="s">
        <v>368</v>
      </c>
      <c r="Z181" s="5" t="s">
        <v>531</v>
      </c>
      <c r="AA181" t="e">
        <f>COUNTIF([1]Sheet1!#REF!, "*"&amp; A181&amp;"*")</f>
        <v>#REF!</v>
      </c>
    </row>
    <row r="182" spans="1:27" x14ac:dyDescent="0.2">
      <c r="A182" s="5">
        <v>105008</v>
      </c>
      <c r="B182" s="5" t="s">
        <v>214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673</v>
      </c>
      <c r="M182" s="5">
        <v>10</v>
      </c>
      <c r="N182" s="5">
        <v>17</v>
      </c>
      <c r="O182">
        <v>30</v>
      </c>
      <c r="P182" s="5"/>
      <c r="Q182" s="5">
        <f t="shared" si="9"/>
        <v>240</v>
      </c>
      <c r="R182" s="5">
        <v>0</v>
      </c>
      <c r="S182" s="5">
        <v>3</v>
      </c>
      <c r="T182" s="5" t="s">
        <v>289</v>
      </c>
      <c r="U182" s="5"/>
      <c r="V182" s="5" t="s">
        <v>367</v>
      </c>
      <c r="W182" s="5"/>
      <c r="X182" s="5" t="s">
        <v>186</v>
      </c>
      <c r="Y182" s="10" t="s">
        <v>163</v>
      </c>
      <c r="Z182" s="5" t="s">
        <v>532</v>
      </c>
      <c r="AA182" t="e">
        <f>COUNTIF([1]Sheet1!#REF!, "*"&amp; A182&amp;"*")</f>
        <v>#REF!</v>
      </c>
    </row>
    <row r="183" spans="1:27" x14ac:dyDescent="0.2">
      <c r="A183" s="5">
        <v>105009</v>
      </c>
      <c r="B183" s="5" t="s">
        <v>672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675</v>
      </c>
      <c r="M183" s="5">
        <v>10</v>
      </c>
      <c r="N183" s="5">
        <v>17</v>
      </c>
      <c r="O183" s="5"/>
      <c r="P183" s="5"/>
      <c r="Q183" s="5">
        <f t="shared" si="9"/>
        <v>25</v>
      </c>
      <c r="R183" s="5">
        <v>0</v>
      </c>
      <c r="S183" s="5">
        <v>1</v>
      </c>
      <c r="T183" s="5" t="s">
        <v>295</v>
      </c>
      <c r="U183" s="5"/>
      <c r="V183" s="5" t="s">
        <v>321</v>
      </c>
      <c r="W183" s="5"/>
      <c r="X183" s="5" t="s">
        <v>305</v>
      </c>
      <c r="Y183" s="10" t="s">
        <v>69</v>
      </c>
      <c r="Z183" s="5" t="s">
        <v>533</v>
      </c>
      <c r="AA183" t="e">
        <f>COUNTIF([1]Sheet1!#REF!, "*"&amp; A183&amp;"*")</f>
        <v>#REF!</v>
      </c>
    </row>
    <row r="184" spans="1:27" x14ac:dyDescent="0.2">
      <c r="A184" s="5">
        <v>105010</v>
      </c>
      <c r="B184" s="5" t="s">
        <v>215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675</v>
      </c>
      <c r="M184" s="5">
        <v>10</v>
      </c>
      <c r="N184" s="5">
        <v>17</v>
      </c>
      <c r="O184" s="5"/>
      <c r="P184" s="5"/>
      <c r="Q184" s="5">
        <f t="shared" si="9"/>
        <v>25</v>
      </c>
      <c r="R184" s="5">
        <v>0</v>
      </c>
      <c r="S184" s="5">
        <v>1</v>
      </c>
      <c r="T184" s="5" t="s">
        <v>295</v>
      </c>
      <c r="U184" s="5"/>
      <c r="V184" t="s">
        <v>321</v>
      </c>
      <c r="X184" s="5" t="s">
        <v>305</v>
      </c>
      <c r="Y184" s="10" t="s">
        <v>69</v>
      </c>
      <c r="Z184" s="5" t="s">
        <v>534</v>
      </c>
      <c r="AA184" t="e">
        <f>COUNTIF([1]Sheet1!#REF!, "*"&amp; A184&amp;"*")</f>
        <v>#REF!</v>
      </c>
    </row>
    <row r="185" spans="1:27" x14ac:dyDescent="0.2">
      <c r="A185" s="5">
        <v>105011</v>
      </c>
      <c r="B185" s="5" t="s">
        <v>239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673</v>
      </c>
      <c r="M185" s="5">
        <v>10</v>
      </c>
      <c r="N185" s="5">
        <v>17</v>
      </c>
      <c r="O185">
        <v>30</v>
      </c>
      <c r="P185" s="5"/>
      <c r="Q185" s="5">
        <f t="shared" si="9"/>
        <v>779</v>
      </c>
      <c r="R185" s="5">
        <v>0</v>
      </c>
      <c r="S185" s="5">
        <v>3</v>
      </c>
      <c r="T185" s="5" t="s">
        <v>289</v>
      </c>
      <c r="U185" s="5"/>
      <c r="V185" s="5" t="s">
        <v>378</v>
      </c>
      <c r="W185" s="12" t="s">
        <v>396</v>
      </c>
      <c r="X185" s="5" t="s">
        <v>186</v>
      </c>
      <c r="Y185" s="10" t="s">
        <v>162</v>
      </c>
      <c r="Z185" s="5" t="s">
        <v>535</v>
      </c>
      <c r="AA185" t="e">
        <f>COUNTIF([1]Sheet1!#REF!, "*"&amp; A185&amp;"*")</f>
        <v>#REF!</v>
      </c>
    </row>
    <row r="186" spans="1:27" x14ac:dyDescent="0.2">
      <c r="A186" s="5">
        <v>105012</v>
      </c>
      <c r="B186" s="5" t="s">
        <v>656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675</v>
      </c>
      <c r="M186" s="5">
        <v>10</v>
      </c>
      <c r="N186" s="5">
        <v>17</v>
      </c>
      <c r="O186" s="5"/>
      <c r="P186" s="5"/>
      <c r="Q186" s="5">
        <f t="shared" si="9"/>
        <v>25</v>
      </c>
      <c r="R186" s="5">
        <v>0</v>
      </c>
      <c r="S186" s="5">
        <v>1</v>
      </c>
      <c r="T186" s="5" t="s">
        <v>989</v>
      </c>
      <c r="U186" s="5"/>
      <c r="V186" s="5"/>
      <c r="W186" s="5"/>
      <c r="X186" s="5" t="s">
        <v>183</v>
      </c>
      <c r="Y186" s="10" t="s">
        <v>335</v>
      </c>
      <c r="Z186" s="5" t="s">
        <v>797</v>
      </c>
      <c r="AA186" t="e">
        <f>COUNTIF([1]Sheet1!#REF!, "*"&amp; A186&amp;"*")</f>
        <v>#REF!</v>
      </c>
    </row>
    <row r="187" spans="1:27" x14ac:dyDescent="0.2">
      <c r="A187" s="5">
        <v>105013</v>
      </c>
      <c r="B187" s="5" t="s">
        <v>657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673</v>
      </c>
      <c r="M187" s="5">
        <v>10</v>
      </c>
      <c r="N187" s="5">
        <v>17</v>
      </c>
      <c r="O187" s="5"/>
      <c r="P187" s="5"/>
      <c r="Q187" s="5">
        <f t="shared" si="9"/>
        <v>75</v>
      </c>
      <c r="R187" s="5">
        <v>0</v>
      </c>
      <c r="S187" s="5">
        <v>1</v>
      </c>
      <c r="T187" s="5" t="s">
        <v>989</v>
      </c>
      <c r="U187" s="5"/>
      <c r="V187" s="5"/>
      <c r="W187" s="5"/>
      <c r="X187" s="5" t="s">
        <v>183</v>
      </c>
      <c r="Y187" s="10" t="s">
        <v>335</v>
      </c>
      <c r="Z187" s="5" t="s">
        <v>798</v>
      </c>
    </row>
    <row r="188" spans="1:27" x14ac:dyDescent="0.2">
      <c r="A188" s="5">
        <v>105014</v>
      </c>
      <c r="B188" s="5" t="s">
        <v>658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673</v>
      </c>
      <c r="M188" s="5">
        <v>10</v>
      </c>
      <c r="N188" s="5">
        <v>17</v>
      </c>
      <c r="O188" s="5"/>
      <c r="P188" s="5"/>
      <c r="Q188" s="5">
        <f t="shared" si="9"/>
        <v>68</v>
      </c>
      <c r="R188" s="5">
        <v>0</v>
      </c>
      <c r="S188" s="5">
        <v>1</v>
      </c>
      <c r="T188" s="5" t="s">
        <v>989</v>
      </c>
      <c r="U188" s="5"/>
      <c r="V188" s="5"/>
      <c r="W188" s="5"/>
      <c r="X188" s="5" t="s">
        <v>183</v>
      </c>
      <c r="Y188" s="10" t="s">
        <v>335</v>
      </c>
      <c r="Z188" s="5" t="s">
        <v>799</v>
      </c>
    </row>
    <row r="189" spans="1:27" x14ac:dyDescent="0.2">
      <c r="A189" s="5">
        <v>105015</v>
      </c>
      <c r="B189" s="5" t="s">
        <v>659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673</v>
      </c>
      <c r="M189" s="5">
        <v>10</v>
      </c>
      <c r="N189" s="5">
        <v>17</v>
      </c>
      <c r="O189" s="5"/>
      <c r="P189" s="5"/>
      <c r="Q189" s="5">
        <f t="shared" si="9"/>
        <v>185</v>
      </c>
      <c r="R189" s="5">
        <v>0</v>
      </c>
      <c r="S189" s="5">
        <v>1</v>
      </c>
      <c r="T189" s="5" t="s">
        <v>989</v>
      </c>
      <c r="U189" s="5"/>
      <c r="V189" s="5"/>
      <c r="W189" s="5"/>
      <c r="X189" s="5" t="s">
        <v>183</v>
      </c>
      <c r="Y189" s="10" t="s">
        <v>335</v>
      </c>
      <c r="Z189" s="5" t="s">
        <v>904</v>
      </c>
    </row>
    <row r="190" spans="1:27" x14ac:dyDescent="0.2">
      <c r="A190" s="5">
        <v>105016</v>
      </c>
      <c r="B190" s="5" t="s">
        <v>660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673</v>
      </c>
      <c r="M190" s="5">
        <v>10</v>
      </c>
      <c r="N190" s="5">
        <v>17</v>
      </c>
      <c r="O190" s="5"/>
      <c r="P190" s="5"/>
      <c r="Q190" s="5">
        <f t="shared" si="9"/>
        <v>313</v>
      </c>
      <c r="R190" s="5">
        <v>0</v>
      </c>
      <c r="S190" s="5">
        <v>1</v>
      </c>
      <c r="T190" s="5" t="s">
        <v>989</v>
      </c>
      <c r="U190" s="5"/>
      <c r="V190" s="5"/>
      <c r="W190" s="5"/>
      <c r="X190" s="5" t="s">
        <v>183</v>
      </c>
      <c r="Y190" s="10" t="s">
        <v>335</v>
      </c>
      <c r="Z190" s="5" t="s">
        <v>800</v>
      </c>
    </row>
    <row r="191" spans="1:27" x14ac:dyDescent="0.2">
      <c r="A191" s="5">
        <v>105017</v>
      </c>
      <c r="B191" s="5" t="s">
        <v>962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673</v>
      </c>
      <c r="M191" s="5">
        <v>10</v>
      </c>
      <c r="N191" s="5">
        <v>17</v>
      </c>
      <c r="O191" s="5"/>
      <c r="P191" s="5"/>
      <c r="Q191" s="5">
        <f t="shared" si="9"/>
        <v>26</v>
      </c>
      <c r="R191" s="5">
        <v>0</v>
      </c>
      <c r="S191" s="5">
        <v>1</v>
      </c>
      <c r="T191" s="5" t="s">
        <v>989</v>
      </c>
      <c r="U191" s="5"/>
      <c r="V191" s="5"/>
      <c r="W191" s="5"/>
      <c r="X191" s="5" t="s">
        <v>183</v>
      </c>
      <c r="Y191" s="10" t="s">
        <v>335</v>
      </c>
      <c r="Z191" s="5" t="s">
        <v>867</v>
      </c>
    </row>
    <row r="192" spans="1:27" x14ac:dyDescent="0.2">
      <c r="A192" s="5">
        <v>105018</v>
      </c>
      <c r="B192" s="5" t="s">
        <v>661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675</v>
      </c>
      <c r="M192" s="5">
        <v>10</v>
      </c>
      <c r="N192" s="5">
        <v>17</v>
      </c>
      <c r="O192" s="5"/>
      <c r="P192" s="5"/>
      <c r="Q192" s="5">
        <f t="shared" si="9"/>
        <v>258</v>
      </c>
      <c r="R192" s="5">
        <v>0</v>
      </c>
      <c r="S192" s="5">
        <v>1</v>
      </c>
      <c r="T192" s="5" t="s">
        <v>989</v>
      </c>
      <c r="U192" s="5"/>
      <c r="V192" s="5"/>
      <c r="W192" s="5"/>
      <c r="X192" s="5" t="s">
        <v>183</v>
      </c>
      <c r="Y192" s="10" t="s">
        <v>335</v>
      </c>
      <c r="Z192" s="5" t="s">
        <v>801</v>
      </c>
    </row>
    <row r="193" spans="1:27" x14ac:dyDescent="0.2">
      <c r="A193" s="5">
        <v>105019</v>
      </c>
      <c r="B193" s="5" t="s">
        <v>662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675</v>
      </c>
      <c r="M193" s="5">
        <v>10</v>
      </c>
      <c r="N193" s="5">
        <v>17</v>
      </c>
      <c r="O193" s="5"/>
      <c r="P193" s="5"/>
      <c r="Q193" s="5">
        <f t="shared" si="9"/>
        <v>59</v>
      </c>
      <c r="R193" s="5">
        <v>0</v>
      </c>
      <c r="S193" s="5">
        <v>1</v>
      </c>
      <c r="T193" s="5" t="s">
        <v>989</v>
      </c>
      <c r="U193" s="5"/>
      <c r="V193" s="5"/>
      <c r="W193" s="5"/>
      <c r="X193" s="5" t="s">
        <v>183</v>
      </c>
      <c r="Y193" s="10" t="s">
        <v>335</v>
      </c>
      <c r="Z193" s="5" t="s">
        <v>868</v>
      </c>
    </row>
    <row r="194" spans="1:27" x14ac:dyDescent="0.2">
      <c r="A194" s="5">
        <v>105020</v>
      </c>
      <c r="B194" s="5" t="s">
        <v>663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673</v>
      </c>
      <c r="M194" s="5">
        <v>10</v>
      </c>
      <c r="N194" s="5">
        <v>17</v>
      </c>
      <c r="O194" s="5"/>
      <c r="P194" s="5"/>
      <c r="Q194" s="5">
        <f t="shared" si="9"/>
        <v>53</v>
      </c>
      <c r="R194" s="5">
        <v>0</v>
      </c>
      <c r="S194" s="5">
        <v>1</v>
      </c>
      <c r="T194" s="5" t="s">
        <v>989</v>
      </c>
      <c r="U194" s="5"/>
      <c r="V194" s="5"/>
      <c r="W194" s="5"/>
      <c r="X194" s="5" t="s">
        <v>183</v>
      </c>
      <c r="Y194" s="10" t="s">
        <v>335</v>
      </c>
      <c r="Z194" s="5" t="s">
        <v>864</v>
      </c>
    </row>
    <row r="195" spans="1:27" x14ac:dyDescent="0.2">
      <c r="A195" s="5">
        <v>105021</v>
      </c>
      <c r="B195" s="5" t="s">
        <v>664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673</v>
      </c>
      <c r="M195" s="5">
        <v>10</v>
      </c>
      <c r="N195" s="5">
        <v>17</v>
      </c>
      <c r="O195" s="5"/>
      <c r="P195" s="5"/>
      <c r="Q195" s="5">
        <f t="shared" si="9"/>
        <v>51</v>
      </c>
      <c r="R195" s="5">
        <v>0</v>
      </c>
      <c r="S195" s="5">
        <v>1</v>
      </c>
      <c r="T195" s="5" t="s">
        <v>989</v>
      </c>
      <c r="U195" s="5"/>
      <c r="V195" s="5"/>
      <c r="W195" s="5"/>
      <c r="X195" s="5" t="s">
        <v>183</v>
      </c>
      <c r="Y195" s="10" t="s">
        <v>335</v>
      </c>
      <c r="Z195" s="5" t="s">
        <v>865</v>
      </c>
    </row>
    <row r="196" spans="1:27" x14ac:dyDescent="0.2">
      <c r="A196" s="5">
        <v>105022</v>
      </c>
      <c r="B196" s="5" t="s">
        <v>665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675</v>
      </c>
      <c r="M196" s="5">
        <v>10</v>
      </c>
      <c r="N196" s="5">
        <v>17</v>
      </c>
      <c r="O196" s="5"/>
      <c r="P196" s="5"/>
      <c r="Q196" s="5">
        <f t="shared" si="9"/>
        <v>163</v>
      </c>
      <c r="R196" s="5">
        <v>0</v>
      </c>
      <c r="S196" s="5">
        <v>1</v>
      </c>
      <c r="T196" s="5" t="s">
        <v>989</v>
      </c>
      <c r="U196" s="5"/>
      <c r="V196" s="5"/>
      <c r="W196" s="5"/>
      <c r="X196" s="5" t="s">
        <v>183</v>
      </c>
      <c r="Y196" s="10" t="s">
        <v>335</v>
      </c>
      <c r="Z196" s="5" t="s">
        <v>825</v>
      </c>
    </row>
    <row r="197" spans="1:27" x14ac:dyDescent="0.2">
      <c r="A197" s="5">
        <v>105023</v>
      </c>
      <c r="B197" s="5" t="s">
        <v>666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673</v>
      </c>
      <c r="M197" s="5">
        <v>10</v>
      </c>
      <c r="N197" s="5">
        <v>17</v>
      </c>
      <c r="O197" s="5"/>
      <c r="P197" s="5"/>
      <c r="Q197" s="5">
        <f t="shared" si="9"/>
        <v>548</v>
      </c>
      <c r="R197" s="5">
        <v>0</v>
      </c>
      <c r="S197" s="5">
        <v>1</v>
      </c>
      <c r="T197" s="5" t="s">
        <v>989</v>
      </c>
      <c r="U197" s="5"/>
      <c r="V197" s="5"/>
      <c r="W197" s="5"/>
      <c r="X197" s="5" t="s">
        <v>183</v>
      </c>
      <c r="Y197" s="10" t="s">
        <v>335</v>
      </c>
      <c r="Z197" s="5" t="s">
        <v>803</v>
      </c>
    </row>
    <row r="198" spans="1:27" x14ac:dyDescent="0.2">
      <c r="A198" s="5">
        <v>105024</v>
      </c>
      <c r="B198" s="5" t="s">
        <v>667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673</v>
      </c>
      <c r="M198" s="5">
        <v>10</v>
      </c>
      <c r="N198" s="5">
        <v>17</v>
      </c>
      <c r="O198" s="5"/>
      <c r="P198" s="5"/>
      <c r="Q198" s="5">
        <f t="shared" si="9"/>
        <v>60</v>
      </c>
      <c r="R198" s="5">
        <v>0</v>
      </c>
      <c r="S198" s="5">
        <v>1</v>
      </c>
      <c r="T198" s="5" t="s">
        <v>989</v>
      </c>
      <c r="U198" s="5"/>
      <c r="V198" s="5"/>
      <c r="W198" s="5"/>
      <c r="X198" s="5" t="s">
        <v>183</v>
      </c>
      <c r="Y198" s="10" t="s">
        <v>335</v>
      </c>
      <c r="Z198" s="5" t="s">
        <v>804</v>
      </c>
    </row>
    <row r="199" spans="1:27" x14ac:dyDescent="0.2">
      <c r="A199" s="5">
        <v>105025</v>
      </c>
      <c r="B199" s="5" t="s">
        <v>668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675</v>
      </c>
      <c r="M199" s="5">
        <v>10</v>
      </c>
      <c r="N199" s="5">
        <v>17</v>
      </c>
      <c r="O199" s="5"/>
      <c r="P199" s="5"/>
      <c r="Q199" s="5">
        <f t="shared" si="9"/>
        <v>25</v>
      </c>
      <c r="R199" s="5">
        <v>0</v>
      </c>
      <c r="S199" s="5">
        <v>1</v>
      </c>
      <c r="T199" s="5" t="s">
        <v>989</v>
      </c>
      <c r="U199" s="5"/>
      <c r="V199" s="5"/>
      <c r="W199" s="5"/>
      <c r="X199" s="5" t="s">
        <v>183</v>
      </c>
      <c r="Y199" s="10" t="s">
        <v>335</v>
      </c>
      <c r="Z199" s="5" t="s">
        <v>805</v>
      </c>
    </row>
    <row r="200" spans="1:27" x14ac:dyDescent="0.2">
      <c r="A200" s="5">
        <v>105026</v>
      </c>
      <c r="B200" s="5" t="s">
        <v>963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674</v>
      </c>
      <c r="M200" s="5">
        <v>10</v>
      </c>
      <c r="N200" s="5">
        <v>17</v>
      </c>
      <c r="O200" s="5"/>
      <c r="P200" s="5"/>
      <c r="Q200" s="5">
        <f t="shared" si="9"/>
        <v>25</v>
      </c>
      <c r="R200" s="5">
        <v>0</v>
      </c>
      <c r="S200" s="5">
        <v>1</v>
      </c>
      <c r="T200" s="5" t="s">
        <v>989</v>
      </c>
      <c r="U200" s="5"/>
      <c r="V200" s="5"/>
      <c r="W200" s="5"/>
      <c r="X200" s="5" t="s">
        <v>183</v>
      </c>
      <c r="Y200" s="10" t="s">
        <v>335</v>
      </c>
      <c r="Z200" s="5" t="s">
        <v>866</v>
      </c>
    </row>
    <row r="201" spans="1:27" x14ac:dyDescent="0.2">
      <c r="A201" s="5">
        <v>105027</v>
      </c>
      <c r="B201" s="5" t="s">
        <v>964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675</v>
      </c>
      <c r="M201" s="5">
        <v>10</v>
      </c>
      <c r="N201" s="5">
        <v>17</v>
      </c>
      <c r="O201" s="5"/>
      <c r="P201" s="5"/>
      <c r="Q201" s="5">
        <f t="shared" si="9"/>
        <v>313</v>
      </c>
      <c r="R201" s="5">
        <v>0</v>
      </c>
      <c r="S201" s="5">
        <v>1</v>
      </c>
      <c r="T201" s="5" t="s">
        <v>989</v>
      </c>
      <c r="U201" s="5"/>
      <c r="V201" s="5"/>
      <c r="W201" s="5"/>
      <c r="X201" s="5" t="s">
        <v>183</v>
      </c>
      <c r="Y201" s="10" t="s">
        <v>335</v>
      </c>
      <c r="Z201" s="5" t="s">
        <v>802</v>
      </c>
    </row>
    <row r="202" spans="1:27" x14ac:dyDescent="0.2">
      <c r="A202" s="5">
        <v>105028</v>
      </c>
      <c r="B202" s="5" t="s">
        <v>669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674</v>
      </c>
      <c r="M202" s="5">
        <v>10</v>
      </c>
      <c r="N202" s="5">
        <v>17</v>
      </c>
      <c r="O202" s="5"/>
      <c r="P202" s="5"/>
      <c r="Q202" s="5">
        <f t="shared" si="9"/>
        <v>236</v>
      </c>
      <c r="R202" s="5">
        <v>0</v>
      </c>
      <c r="S202" s="5">
        <v>1</v>
      </c>
      <c r="T202" s="5" t="s">
        <v>989</v>
      </c>
      <c r="U202" s="5"/>
      <c r="V202" s="5"/>
      <c r="W202" s="5"/>
      <c r="X202" s="5" t="s">
        <v>183</v>
      </c>
      <c r="Y202" s="10" t="s">
        <v>335</v>
      </c>
      <c r="Z202" s="5" t="s">
        <v>826</v>
      </c>
    </row>
    <row r="203" spans="1:27" x14ac:dyDescent="0.2">
      <c r="A203" s="5">
        <v>105029</v>
      </c>
      <c r="B203" s="5" t="s">
        <v>670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674</v>
      </c>
      <c r="M203" s="5">
        <v>10</v>
      </c>
      <c r="N203" s="5">
        <v>17</v>
      </c>
      <c r="O203" s="5"/>
      <c r="P203" s="5"/>
      <c r="Q203" s="5">
        <f t="shared" si="9"/>
        <v>60</v>
      </c>
      <c r="R203" s="5">
        <v>0</v>
      </c>
      <c r="S203" s="5">
        <v>1</v>
      </c>
      <c r="T203" s="5" t="s">
        <v>989</v>
      </c>
      <c r="U203" s="5"/>
      <c r="V203" s="5"/>
      <c r="W203" s="5"/>
      <c r="X203" s="5" t="s">
        <v>183</v>
      </c>
      <c r="Y203" s="10" t="s">
        <v>335</v>
      </c>
      <c r="Z203" s="5" t="s">
        <v>787</v>
      </c>
    </row>
    <row r="204" spans="1:27" x14ac:dyDescent="0.2">
      <c r="A204" s="5">
        <v>105030</v>
      </c>
      <c r="B204" s="5" t="s">
        <v>671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673</v>
      </c>
      <c r="M204" s="5">
        <v>10</v>
      </c>
      <c r="N204" s="5">
        <v>17</v>
      </c>
      <c r="O204" s="5"/>
      <c r="P204" s="5"/>
      <c r="Q204" s="5">
        <f t="shared" si="9"/>
        <v>84</v>
      </c>
      <c r="R204" s="5">
        <v>0</v>
      </c>
      <c r="S204" s="5">
        <v>1</v>
      </c>
      <c r="T204" s="5" t="s">
        <v>989</v>
      </c>
      <c r="U204" s="5"/>
      <c r="V204" s="5"/>
      <c r="W204" s="5"/>
      <c r="X204" s="5" t="s">
        <v>183</v>
      </c>
      <c r="Y204" s="10" t="s">
        <v>335</v>
      </c>
      <c r="Z204" s="5" t="s">
        <v>827</v>
      </c>
    </row>
    <row r="205" spans="1:27" x14ac:dyDescent="0.2">
      <c r="A205" s="13">
        <v>100006</v>
      </c>
      <c r="B205" s="13" t="s">
        <v>156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618</v>
      </c>
      <c r="M205" s="5">
        <v>10</v>
      </c>
      <c r="N205" s="5">
        <v>17</v>
      </c>
      <c r="O205" s="5"/>
      <c r="P205" s="5"/>
      <c r="Q205" s="5">
        <f t="shared" si="9"/>
        <v>539</v>
      </c>
      <c r="R205" s="5">
        <v>0</v>
      </c>
      <c r="S205" s="5">
        <v>1</v>
      </c>
      <c r="T205" s="5" t="s">
        <v>282</v>
      </c>
      <c r="U205" s="5"/>
      <c r="V205" s="5"/>
      <c r="W205" s="5"/>
      <c r="X205" s="5" t="s">
        <v>182</v>
      </c>
      <c r="Y205" s="10" t="s">
        <v>69</v>
      </c>
      <c r="Z205" s="5" t="s">
        <v>557</v>
      </c>
    </row>
    <row r="206" spans="1:27" x14ac:dyDescent="0.2">
      <c r="A206" s="5">
        <v>106001</v>
      </c>
      <c r="B206" s="5" t="s">
        <v>27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618</v>
      </c>
      <c r="M206" s="5">
        <v>10</v>
      </c>
      <c r="N206" s="5">
        <v>17</v>
      </c>
      <c r="O206" s="5"/>
      <c r="P206" s="5"/>
      <c r="Q206" s="5">
        <f t="shared" si="9"/>
        <v>360</v>
      </c>
      <c r="R206" s="5">
        <v>0</v>
      </c>
      <c r="S206" s="5">
        <v>1</v>
      </c>
      <c r="T206" s="5" t="s">
        <v>296</v>
      </c>
      <c r="U206" s="5"/>
      <c r="V206" s="5" t="s">
        <v>341</v>
      </c>
      <c r="W206" s="5"/>
      <c r="X206" s="5" t="s">
        <v>184</v>
      </c>
      <c r="Y206" s="10" t="s">
        <v>335</v>
      </c>
      <c r="Z206" s="5" t="s">
        <v>408</v>
      </c>
      <c r="AA206" t="e">
        <f>COUNTIF([1]Sheet1!#REF!, "*"&amp; A206&amp;"*")</f>
        <v>#REF!</v>
      </c>
    </row>
    <row r="207" spans="1:27" x14ac:dyDescent="0.2">
      <c r="A207" s="5">
        <v>106002</v>
      </c>
      <c r="B207" s="5" t="s">
        <v>32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618</v>
      </c>
      <c r="M207" s="5">
        <v>10</v>
      </c>
      <c r="N207" s="5">
        <v>17</v>
      </c>
      <c r="O207" s="5"/>
      <c r="P207" s="5"/>
      <c r="Q207" s="5">
        <f t="shared" si="9"/>
        <v>400</v>
      </c>
      <c r="R207" s="5">
        <v>0</v>
      </c>
      <c r="S207" s="5">
        <v>1</v>
      </c>
      <c r="T207" s="5" t="s">
        <v>296</v>
      </c>
      <c r="U207" s="5"/>
      <c r="V207" s="5" t="s">
        <v>303</v>
      </c>
      <c r="W207" s="5" t="s">
        <v>383</v>
      </c>
      <c r="X207" s="5" t="s">
        <v>184</v>
      </c>
      <c r="Y207" s="10" t="s">
        <v>69</v>
      </c>
      <c r="Z207" s="5" t="s">
        <v>416</v>
      </c>
      <c r="AA207" t="e">
        <f>COUNTIF([1]Sheet1!#REF!, "*"&amp; A207&amp;"*")</f>
        <v>#REF!</v>
      </c>
    </row>
    <row r="208" spans="1:27" x14ac:dyDescent="0.2">
      <c r="A208" s="5">
        <v>106003</v>
      </c>
      <c r="B208" s="5" t="s">
        <v>233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618</v>
      </c>
      <c r="M208" s="5">
        <v>10</v>
      </c>
      <c r="N208" s="5">
        <v>17</v>
      </c>
      <c r="O208" s="5"/>
      <c r="P208" s="5"/>
      <c r="Q208" s="5">
        <f t="shared" si="9"/>
        <v>548</v>
      </c>
      <c r="R208" s="5">
        <v>0</v>
      </c>
      <c r="S208" s="5">
        <v>1</v>
      </c>
      <c r="T208" s="5" t="s">
        <v>286</v>
      </c>
      <c r="U208" s="5"/>
      <c r="V208" s="5" t="s">
        <v>302</v>
      </c>
      <c r="W208" s="5"/>
      <c r="X208" s="5" t="s">
        <v>184</v>
      </c>
      <c r="Y208" s="10" t="s">
        <v>69</v>
      </c>
      <c r="Z208" s="5" t="s">
        <v>459</v>
      </c>
      <c r="AA208" t="e">
        <f>COUNTIF([1]Sheet1!#REF!, "*"&amp; A208&amp;"*")</f>
        <v>#REF!</v>
      </c>
    </row>
    <row r="209" spans="1:27" x14ac:dyDescent="0.2">
      <c r="A209" s="5">
        <v>106004</v>
      </c>
      <c r="B209" s="5" t="s">
        <v>609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619</v>
      </c>
      <c r="M209" s="5">
        <v>10</v>
      </c>
      <c r="N209" s="5">
        <v>17</v>
      </c>
      <c r="O209" s="5"/>
      <c r="P209" s="5"/>
      <c r="Q209" s="5">
        <f t="shared" si="9"/>
        <v>379</v>
      </c>
      <c r="R209" s="5">
        <v>0</v>
      </c>
      <c r="S209" s="5">
        <v>1</v>
      </c>
      <c r="T209" s="5" t="s">
        <v>989</v>
      </c>
      <c r="U209" s="5"/>
      <c r="V209" s="5"/>
      <c r="W209" s="5"/>
      <c r="X209" s="5" t="s">
        <v>183</v>
      </c>
      <c r="Y209" s="10" t="s">
        <v>335</v>
      </c>
      <c r="Z209" s="5" t="s">
        <v>806</v>
      </c>
      <c r="AA209" t="e">
        <f>COUNTIF([1]Sheet1!#REF!, "*"&amp; A209&amp;"*")</f>
        <v>#REF!</v>
      </c>
    </row>
    <row r="210" spans="1:27" x14ac:dyDescent="0.2">
      <c r="A210" s="5">
        <v>106005</v>
      </c>
      <c r="B210" s="5" t="s">
        <v>603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619</v>
      </c>
      <c r="M210" s="5">
        <v>10</v>
      </c>
      <c r="N210" s="5">
        <v>17</v>
      </c>
      <c r="O210" s="5"/>
      <c r="P210" s="5"/>
      <c r="Q210" s="5">
        <f t="shared" si="9"/>
        <v>142</v>
      </c>
      <c r="R210" s="5">
        <v>0</v>
      </c>
      <c r="S210" s="5">
        <v>1</v>
      </c>
      <c r="T210" s="5" t="s">
        <v>989</v>
      </c>
      <c r="U210" s="5"/>
      <c r="V210" s="5"/>
      <c r="W210" s="5"/>
      <c r="X210" s="5" t="s">
        <v>183</v>
      </c>
      <c r="Y210" s="10" t="s">
        <v>335</v>
      </c>
      <c r="Z210" s="5" t="s">
        <v>807</v>
      </c>
    </row>
    <row r="211" spans="1:27" x14ac:dyDescent="0.2">
      <c r="A211" s="5">
        <v>106006</v>
      </c>
      <c r="B211" s="5" t="s">
        <v>604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619</v>
      </c>
      <c r="M211" s="5">
        <v>10</v>
      </c>
      <c r="N211" s="5">
        <v>17</v>
      </c>
      <c r="O211" s="5"/>
      <c r="P211" s="5"/>
      <c r="Q211" s="5">
        <f t="shared" si="9"/>
        <v>85</v>
      </c>
      <c r="R211" s="5">
        <v>0</v>
      </c>
      <c r="S211" s="5">
        <v>1</v>
      </c>
      <c r="T211" s="5" t="s">
        <v>989</v>
      </c>
      <c r="U211" s="5"/>
      <c r="V211" s="5"/>
      <c r="W211" s="5"/>
      <c r="X211" s="5" t="s">
        <v>183</v>
      </c>
      <c r="Y211" s="10" t="s">
        <v>335</v>
      </c>
      <c r="Z211" s="5" t="s">
        <v>869</v>
      </c>
    </row>
    <row r="212" spans="1:27" x14ac:dyDescent="0.2">
      <c r="A212" s="5">
        <v>106007</v>
      </c>
      <c r="B212" s="5" t="s">
        <v>610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618</v>
      </c>
      <c r="M212" s="5">
        <v>10</v>
      </c>
      <c r="N212" s="5">
        <v>17</v>
      </c>
      <c r="O212" s="5"/>
      <c r="P212" s="5"/>
      <c r="Q212" s="5">
        <f t="shared" si="9"/>
        <v>130</v>
      </c>
      <c r="R212" s="5">
        <v>0</v>
      </c>
      <c r="S212" s="5">
        <v>1</v>
      </c>
      <c r="T212" s="5" t="s">
        <v>989</v>
      </c>
      <c r="U212" s="5"/>
      <c r="V212" s="5"/>
      <c r="W212" s="5"/>
      <c r="X212" s="5" t="s">
        <v>183</v>
      </c>
      <c r="Y212" s="10" t="s">
        <v>335</v>
      </c>
      <c r="Z212" s="5" t="s">
        <v>828</v>
      </c>
    </row>
    <row r="213" spans="1:27" x14ac:dyDescent="0.2">
      <c r="A213" s="5">
        <v>106008</v>
      </c>
      <c r="B213" s="5" t="s">
        <v>611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619</v>
      </c>
      <c r="M213" s="5">
        <v>10</v>
      </c>
      <c r="N213" s="5">
        <v>17</v>
      </c>
      <c r="O213" s="5"/>
      <c r="P213" s="5"/>
      <c r="Q213" s="5">
        <f t="shared" si="9"/>
        <v>40</v>
      </c>
      <c r="R213" s="5">
        <v>0</v>
      </c>
      <c r="S213" s="5">
        <v>1</v>
      </c>
      <c r="T213" s="5" t="s">
        <v>989</v>
      </c>
      <c r="U213" s="5"/>
      <c r="V213" s="5"/>
      <c r="W213" s="5"/>
      <c r="X213" s="5" t="s">
        <v>183</v>
      </c>
      <c r="Y213" s="10" t="s">
        <v>335</v>
      </c>
      <c r="Z213" s="5" t="s">
        <v>829</v>
      </c>
    </row>
    <row r="214" spans="1:27" x14ac:dyDescent="0.2">
      <c r="A214" s="5">
        <v>106009</v>
      </c>
      <c r="B214" s="5" t="s">
        <v>612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618</v>
      </c>
      <c r="M214" s="5">
        <v>10</v>
      </c>
      <c r="N214" s="5">
        <v>17</v>
      </c>
      <c r="O214" s="5"/>
      <c r="P214" s="5"/>
      <c r="Q214" s="5">
        <f t="shared" si="9"/>
        <v>132</v>
      </c>
      <c r="R214" s="5">
        <v>0</v>
      </c>
      <c r="S214" s="5">
        <v>1</v>
      </c>
      <c r="T214" s="5" t="s">
        <v>989</v>
      </c>
      <c r="U214" s="5"/>
      <c r="V214" s="5"/>
      <c r="W214" s="5"/>
      <c r="X214" s="5" t="s">
        <v>183</v>
      </c>
      <c r="Y214" s="10" t="s">
        <v>335</v>
      </c>
      <c r="Z214" s="5" t="s">
        <v>830</v>
      </c>
    </row>
    <row r="215" spans="1:27" x14ac:dyDescent="0.2">
      <c r="A215" s="5">
        <v>106010</v>
      </c>
      <c r="B215" s="5" t="s">
        <v>606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619</v>
      </c>
      <c r="M215" s="5">
        <v>10</v>
      </c>
      <c r="N215" s="5">
        <v>17</v>
      </c>
      <c r="O215" s="5"/>
      <c r="P215" s="5"/>
      <c r="Q215" s="5">
        <f t="shared" si="9"/>
        <v>26</v>
      </c>
      <c r="R215" s="5">
        <v>0</v>
      </c>
      <c r="S215" s="5">
        <v>1</v>
      </c>
      <c r="T215" s="5" t="s">
        <v>989</v>
      </c>
      <c r="U215" s="5"/>
      <c r="V215" s="5"/>
      <c r="W215" s="5"/>
      <c r="X215" s="5" t="s">
        <v>183</v>
      </c>
      <c r="Y215" s="10" t="s">
        <v>335</v>
      </c>
      <c r="Z215" s="5" t="s">
        <v>870</v>
      </c>
    </row>
    <row r="216" spans="1:27" x14ac:dyDescent="0.2">
      <c r="A216" s="5">
        <v>106011</v>
      </c>
      <c r="B216" s="5" t="s">
        <v>605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619</v>
      </c>
      <c r="M216" s="5">
        <v>10</v>
      </c>
      <c r="N216" s="5">
        <v>17</v>
      </c>
      <c r="O216" s="5"/>
      <c r="P216" s="5"/>
      <c r="Q216" s="5">
        <f t="shared" si="9"/>
        <v>96</v>
      </c>
      <c r="R216" s="5">
        <v>0</v>
      </c>
      <c r="S216" s="5">
        <v>1</v>
      </c>
      <c r="T216" s="5" t="s">
        <v>989</v>
      </c>
      <c r="U216" s="5"/>
      <c r="V216" s="5"/>
      <c r="W216" s="5"/>
      <c r="X216" s="5" t="s">
        <v>183</v>
      </c>
      <c r="Y216" s="10" t="s">
        <v>335</v>
      </c>
      <c r="Z216" s="5" t="s">
        <v>831</v>
      </c>
    </row>
    <row r="217" spans="1:27" x14ac:dyDescent="0.2">
      <c r="A217" s="5">
        <v>106012</v>
      </c>
      <c r="B217" s="5" t="s">
        <v>607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619</v>
      </c>
      <c r="M217" s="5">
        <v>10</v>
      </c>
      <c r="N217" s="5">
        <v>17</v>
      </c>
      <c r="O217" s="5"/>
      <c r="P217" s="5"/>
      <c r="Q217" s="5">
        <f t="shared" si="9"/>
        <v>137</v>
      </c>
      <c r="R217" s="5">
        <v>0</v>
      </c>
      <c r="S217" s="5">
        <v>1</v>
      </c>
      <c r="T217" s="5" t="s">
        <v>989</v>
      </c>
      <c r="U217" s="5"/>
      <c r="V217" s="5"/>
      <c r="W217" s="5"/>
      <c r="X217" s="5" t="s">
        <v>183</v>
      </c>
      <c r="Y217" s="10" t="s">
        <v>335</v>
      </c>
      <c r="Z217" s="5" t="s">
        <v>871</v>
      </c>
    </row>
    <row r="218" spans="1:27" x14ac:dyDescent="0.2">
      <c r="A218" s="5">
        <v>106013</v>
      </c>
      <c r="B218" s="5" t="s">
        <v>608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619</v>
      </c>
      <c r="M218" s="5">
        <v>10</v>
      </c>
      <c r="N218" s="5">
        <v>17</v>
      </c>
      <c r="O218" s="5"/>
      <c r="P218" s="5"/>
      <c r="Q218" s="5">
        <f t="shared" si="9"/>
        <v>414</v>
      </c>
      <c r="R218" s="5">
        <v>0</v>
      </c>
      <c r="S218" s="5">
        <v>1</v>
      </c>
      <c r="T218" s="5" t="s">
        <v>989</v>
      </c>
      <c r="U218" s="5"/>
      <c r="V218" s="5"/>
      <c r="W218" s="5"/>
      <c r="X218" s="5" t="s">
        <v>183</v>
      </c>
      <c r="Y218" s="10" t="s">
        <v>335</v>
      </c>
      <c r="Z218" s="5" t="s">
        <v>872</v>
      </c>
    </row>
    <row r="219" spans="1:27" x14ac:dyDescent="0.2">
      <c r="A219" s="5">
        <v>106014</v>
      </c>
      <c r="B219" s="5" t="s">
        <v>243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619</v>
      </c>
      <c r="M219" s="5">
        <v>10</v>
      </c>
      <c r="N219" s="5">
        <v>17</v>
      </c>
      <c r="O219" s="5"/>
      <c r="P219" s="5"/>
      <c r="Q219" s="5">
        <f t="shared" si="9"/>
        <v>739</v>
      </c>
      <c r="R219" s="5">
        <v>0</v>
      </c>
      <c r="S219" s="5">
        <v>1</v>
      </c>
      <c r="T219" s="5" t="s">
        <v>296</v>
      </c>
      <c r="U219" s="5"/>
      <c r="V219" s="5" t="s">
        <v>385</v>
      </c>
      <c r="W219" s="5"/>
      <c r="X219" s="5" t="s">
        <v>311</v>
      </c>
      <c r="Y219" s="10" t="s">
        <v>69</v>
      </c>
      <c r="Z219" s="5" t="s">
        <v>562</v>
      </c>
    </row>
    <row r="220" spans="1:27" x14ac:dyDescent="0.2">
      <c r="A220" s="13">
        <v>100007</v>
      </c>
      <c r="B220" s="13" t="s">
        <v>565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628</v>
      </c>
      <c r="M220" s="5">
        <v>10</v>
      </c>
      <c r="N220" s="5">
        <v>17</v>
      </c>
      <c r="O220" s="5"/>
      <c r="P220" s="5"/>
      <c r="Q220" s="5">
        <v>0</v>
      </c>
      <c r="R220" s="5">
        <v>0</v>
      </c>
      <c r="S220" s="5">
        <v>1</v>
      </c>
      <c r="T220" s="5" t="s">
        <v>282</v>
      </c>
      <c r="U220" s="5"/>
      <c r="V220" s="5"/>
      <c r="W220" s="5"/>
      <c r="X220" s="5" t="s">
        <v>182</v>
      </c>
      <c r="Y220" s="10" t="s">
        <v>69</v>
      </c>
      <c r="Z220" s="5" t="s">
        <v>569</v>
      </c>
      <c r="AA220" t="e">
        <f>COUNTIF([1]Sheet1!#REF!, "*"&amp; A220&amp;"*")</f>
        <v>#REF!</v>
      </c>
    </row>
    <row r="221" spans="1:27" x14ac:dyDescent="0.2">
      <c r="A221" s="5">
        <v>107001</v>
      </c>
      <c r="B221" s="5" t="s">
        <v>967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630</v>
      </c>
      <c r="M221" s="5">
        <v>10</v>
      </c>
      <c r="N221" s="5">
        <v>17</v>
      </c>
      <c r="O221" s="5"/>
      <c r="P221" s="5"/>
      <c r="Q221" s="5">
        <f t="shared" ref="Q221:Q238" si="11">MAX(25, INT(POWER(2.2,J221/45)))</f>
        <v>407</v>
      </c>
      <c r="R221" s="5">
        <v>0</v>
      </c>
      <c r="S221" s="5">
        <v>1</v>
      </c>
      <c r="T221" s="5" t="s">
        <v>285</v>
      </c>
      <c r="U221" s="5"/>
      <c r="V221" s="5" t="s">
        <v>256</v>
      </c>
      <c r="W221" s="5" t="s">
        <v>384</v>
      </c>
      <c r="X221" s="5" t="s">
        <v>184</v>
      </c>
      <c r="Y221" s="10" t="s">
        <v>69</v>
      </c>
      <c r="Z221" s="5" t="s">
        <v>412</v>
      </c>
      <c r="AA221" t="e">
        <f>COUNTIF([1]Sheet1!#REF!, "*"&amp; A221&amp;"*")</f>
        <v>#REF!</v>
      </c>
    </row>
    <row r="222" spans="1:27" x14ac:dyDescent="0.2">
      <c r="A222" s="5">
        <v>107002</v>
      </c>
      <c r="B222" s="5" t="s">
        <v>966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630</v>
      </c>
      <c r="M222" s="5">
        <v>10</v>
      </c>
      <c r="N222" s="5">
        <v>17</v>
      </c>
      <c r="O222">
        <v>40</v>
      </c>
      <c r="P222" s="5">
        <v>5</v>
      </c>
      <c r="Q222" s="5">
        <f t="shared" si="11"/>
        <v>677</v>
      </c>
      <c r="R222" s="5">
        <v>0</v>
      </c>
      <c r="S222" s="5">
        <v>3</v>
      </c>
      <c r="T222" s="5" t="s">
        <v>292</v>
      </c>
      <c r="U222" s="5"/>
      <c r="V222" s="5" t="s">
        <v>257</v>
      </c>
      <c r="W222" s="5" t="s">
        <v>342</v>
      </c>
      <c r="X222" s="5" t="s">
        <v>185</v>
      </c>
      <c r="Y222" s="10" t="s">
        <v>339</v>
      </c>
      <c r="Z222" s="5" t="s">
        <v>413</v>
      </c>
      <c r="AA222" t="e">
        <f>COUNTIF([1]Sheet1!#REF!, "*"&amp; A222&amp;"*")</f>
        <v>#REF!</v>
      </c>
    </row>
    <row r="223" spans="1:27" x14ac:dyDescent="0.2">
      <c r="A223" s="5">
        <v>107003</v>
      </c>
      <c r="B223" s="5" t="s">
        <v>965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629</v>
      </c>
      <c r="M223" s="5">
        <v>10</v>
      </c>
      <c r="N223" s="5">
        <v>17</v>
      </c>
      <c r="O223" s="5"/>
      <c r="P223" s="5"/>
      <c r="Q223" s="5">
        <f t="shared" si="11"/>
        <v>216</v>
      </c>
      <c r="R223" s="5">
        <v>0</v>
      </c>
      <c r="S223" s="5">
        <v>1</v>
      </c>
      <c r="T223" s="5" t="s">
        <v>989</v>
      </c>
      <c r="U223" s="5"/>
      <c r="V223" s="5"/>
      <c r="W223" s="5"/>
      <c r="X223" s="5" t="s">
        <v>183</v>
      </c>
      <c r="Y223" s="10" t="s">
        <v>335</v>
      </c>
      <c r="Z223" s="5" t="s">
        <v>873</v>
      </c>
      <c r="AA223" t="e">
        <f>COUNTIF([1]Sheet1!#REF!, "*"&amp; A223&amp;"*")</f>
        <v>#REF!</v>
      </c>
    </row>
    <row r="224" spans="1:27" x14ac:dyDescent="0.2">
      <c r="A224" s="5">
        <v>107004</v>
      </c>
      <c r="B224" s="5" t="s">
        <v>969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629</v>
      </c>
      <c r="M224" s="5">
        <v>10</v>
      </c>
      <c r="N224" s="5">
        <v>17</v>
      </c>
      <c r="O224" s="5"/>
      <c r="P224" s="5"/>
      <c r="Q224" s="5">
        <f t="shared" si="11"/>
        <v>46</v>
      </c>
      <c r="R224" s="5">
        <v>0</v>
      </c>
      <c r="S224" s="5">
        <v>1</v>
      </c>
      <c r="T224" s="5" t="s">
        <v>989</v>
      </c>
      <c r="U224" s="5"/>
      <c r="V224" s="5"/>
      <c r="W224" s="5"/>
      <c r="X224" s="5" t="s">
        <v>183</v>
      </c>
      <c r="Y224" s="10" t="s">
        <v>335</v>
      </c>
      <c r="Z224" s="5" t="s">
        <v>875</v>
      </c>
      <c r="AA224" t="e">
        <f>COUNTIF([1]Sheet1!#REF!, "*"&amp; A224&amp;"*")</f>
        <v>#REF!</v>
      </c>
    </row>
    <row r="225" spans="1:27" x14ac:dyDescent="0.2">
      <c r="A225" s="5">
        <v>107005</v>
      </c>
      <c r="B225" s="5" t="s">
        <v>968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629</v>
      </c>
      <c r="M225" s="5">
        <v>10</v>
      </c>
      <c r="N225" s="5">
        <v>17</v>
      </c>
      <c r="O225" s="5"/>
      <c r="P225" s="5"/>
      <c r="Q225" s="5">
        <f t="shared" si="11"/>
        <v>91</v>
      </c>
      <c r="R225" s="5">
        <v>0</v>
      </c>
      <c r="S225" s="5">
        <v>1</v>
      </c>
      <c r="T225" s="5" t="s">
        <v>989</v>
      </c>
      <c r="U225" s="5"/>
      <c r="V225" s="5"/>
      <c r="W225" s="5"/>
      <c r="X225" s="5" t="s">
        <v>183</v>
      </c>
      <c r="Y225" s="10" t="s">
        <v>335</v>
      </c>
      <c r="Z225" s="5" t="s">
        <v>874</v>
      </c>
      <c r="AA225" t="e">
        <f>COUNTIF([1]Sheet1!#REF!, "*"&amp; A225&amp;"*")</f>
        <v>#REF!</v>
      </c>
    </row>
    <row r="226" spans="1:27" x14ac:dyDescent="0.2">
      <c r="A226" s="5">
        <v>107006</v>
      </c>
      <c r="B226" s="5" t="s">
        <v>973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628</v>
      </c>
      <c r="M226" s="5">
        <v>10</v>
      </c>
      <c r="N226" s="5">
        <v>17</v>
      </c>
      <c r="O226" s="5"/>
      <c r="P226" s="5"/>
      <c r="Q226" s="5">
        <f t="shared" si="11"/>
        <v>78</v>
      </c>
      <c r="R226" s="5">
        <v>0</v>
      </c>
      <c r="S226" s="5">
        <v>1</v>
      </c>
      <c r="T226" s="5" t="s">
        <v>989</v>
      </c>
      <c r="U226" s="5"/>
      <c r="V226" s="5"/>
      <c r="W226" s="5"/>
      <c r="X226" s="5" t="s">
        <v>183</v>
      </c>
      <c r="Y226" s="10" t="s">
        <v>335</v>
      </c>
      <c r="Z226" s="5" t="s">
        <v>876</v>
      </c>
    </row>
    <row r="227" spans="1:27" x14ac:dyDescent="0.2">
      <c r="A227" s="5">
        <v>107007</v>
      </c>
      <c r="B227" s="5" t="s">
        <v>972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632</v>
      </c>
      <c r="M227" s="5">
        <v>10</v>
      </c>
      <c r="N227" s="5">
        <v>17</v>
      </c>
      <c r="O227" s="5"/>
      <c r="P227" s="5"/>
      <c r="Q227" s="5">
        <f t="shared" si="11"/>
        <v>220</v>
      </c>
      <c r="R227" s="5">
        <v>0</v>
      </c>
      <c r="S227" s="5">
        <v>1</v>
      </c>
      <c r="T227" s="5" t="s">
        <v>989</v>
      </c>
      <c r="U227" s="5"/>
      <c r="V227" s="5"/>
      <c r="W227" s="5"/>
      <c r="X227" s="5" t="s">
        <v>183</v>
      </c>
      <c r="Y227" s="10" t="s">
        <v>335</v>
      </c>
      <c r="Z227" s="5" t="s">
        <v>519</v>
      </c>
    </row>
    <row r="228" spans="1:27" x14ac:dyDescent="0.2">
      <c r="A228" s="5">
        <v>107008</v>
      </c>
      <c r="B228" s="5" t="s">
        <v>971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631</v>
      </c>
      <c r="M228" s="5">
        <v>10</v>
      </c>
      <c r="N228" s="5">
        <v>17</v>
      </c>
      <c r="O228" s="5"/>
      <c r="P228" s="5"/>
      <c r="Q228" s="5">
        <f t="shared" si="11"/>
        <v>64</v>
      </c>
      <c r="R228" s="5">
        <v>0</v>
      </c>
      <c r="S228" s="5">
        <v>1</v>
      </c>
      <c r="T228" s="5" t="s">
        <v>989</v>
      </c>
      <c r="U228" s="5"/>
      <c r="V228" s="5"/>
      <c r="W228" s="5"/>
      <c r="X228" s="5" t="s">
        <v>183</v>
      </c>
      <c r="Y228" s="10" t="s">
        <v>335</v>
      </c>
      <c r="Z228" s="5" t="s">
        <v>932</v>
      </c>
    </row>
    <row r="229" spans="1:27" x14ac:dyDescent="0.2">
      <c r="A229" s="5">
        <v>107009</v>
      </c>
      <c r="B229" s="5" t="s">
        <v>933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631</v>
      </c>
      <c r="M229" s="5">
        <v>10</v>
      </c>
      <c r="N229" s="5">
        <v>17</v>
      </c>
      <c r="O229" s="5"/>
      <c r="P229" s="5"/>
      <c r="Q229" s="5">
        <f t="shared" si="11"/>
        <v>139</v>
      </c>
      <c r="R229" s="5">
        <v>0</v>
      </c>
      <c r="S229" s="5">
        <v>1</v>
      </c>
      <c r="T229" s="5" t="s">
        <v>989</v>
      </c>
      <c r="U229" s="5"/>
      <c r="V229" s="5"/>
      <c r="W229" s="5"/>
      <c r="X229" s="5" t="s">
        <v>183</v>
      </c>
      <c r="Y229" s="10" t="s">
        <v>335</v>
      </c>
      <c r="Z229" s="5" t="s">
        <v>934</v>
      </c>
    </row>
    <row r="230" spans="1:27" x14ac:dyDescent="0.2">
      <c r="A230" s="5">
        <v>107010</v>
      </c>
      <c r="B230" s="5" t="s">
        <v>627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632</v>
      </c>
      <c r="M230" s="5">
        <v>10</v>
      </c>
      <c r="N230" s="5">
        <v>17</v>
      </c>
      <c r="O230" s="5"/>
      <c r="P230" s="5"/>
      <c r="Q230" s="5">
        <f t="shared" si="11"/>
        <v>202</v>
      </c>
      <c r="R230" s="5">
        <v>0</v>
      </c>
      <c r="S230" s="5">
        <v>1</v>
      </c>
      <c r="T230" s="5" t="s">
        <v>989</v>
      </c>
      <c r="U230" s="5"/>
      <c r="V230" s="5"/>
      <c r="W230" s="5"/>
      <c r="X230" s="5" t="s">
        <v>183</v>
      </c>
      <c r="Y230" s="10" t="s">
        <v>335</v>
      </c>
      <c r="Z230" s="5" t="s">
        <v>853</v>
      </c>
    </row>
    <row r="231" spans="1:27" x14ac:dyDescent="0.2">
      <c r="A231" s="5">
        <v>107011</v>
      </c>
      <c r="B231" s="5" t="s">
        <v>974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628</v>
      </c>
      <c r="M231" s="5">
        <v>10</v>
      </c>
      <c r="N231" s="5">
        <v>17</v>
      </c>
      <c r="O231" s="5"/>
      <c r="P231" s="5"/>
      <c r="Q231" s="5">
        <f t="shared" si="11"/>
        <v>147</v>
      </c>
      <c r="R231" s="5">
        <v>0</v>
      </c>
      <c r="S231" s="5">
        <v>1</v>
      </c>
      <c r="T231" s="5" t="s">
        <v>989</v>
      </c>
      <c r="U231" s="5"/>
      <c r="V231" s="5"/>
      <c r="W231" s="5"/>
      <c r="X231" s="5" t="s">
        <v>183</v>
      </c>
      <c r="Y231" s="10" t="s">
        <v>335</v>
      </c>
      <c r="Z231" s="5" t="s">
        <v>905</v>
      </c>
    </row>
    <row r="232" spans="1:27" x14ac:dyDescent="0.2">
      <c r="A232" s="5">
        <v>107012</v>
      </c>
      <c r="B232" s="5" t="s">
        <v>976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628</v>
      </c>
      <c r="M232" s="5">
        <v>10</v>
      </c>
      <c r="N232" s="5">
        <v>17</v>
      </c>
      <c r="O232" s="5"/>
      <c r="P232" s="5"/>
      <c r="Q232" s="5">
        <f t="shared" si="11"/>
        <v>407</v>
      </c>
      <c r="R232" s="5">
        <v>0</v>
      </c>
      <c r="S232" s="5">
        <v>1</v>
      </c>
      <c r="T232" s="5" t="s">
        <v>989</v>
      </c>
      <c r="U232" s="5"/>
      <c r="V232" s="5"/>
      <c r="W232" s="5"/>
      <c r="X232" s="5" t="s">
        <v>183</v>
      </c>
      <c r="Y232" s="10" t="s">
        <v>335</v>
      </c>
      <c r="Z232" s="5" t="s">
        <v>808</v>
      </c>
    </row>
    <row r="233" spans="1:27" x14ac:dyDescent="0.2">
      <c r="A233" s="5">
        <v>107013</v>
      </c>
      <c r="B233" s="5" t="s">
        <v>975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628</v>
      </c>
      <c r="M233" s="5">
        <v>10</v>
      </c>
      <c r="N233" s="5">
        <v>17</v>
      </c>
      <c r="O233" s="5"/>
      <c r="P233" s="5"/>
      <c r="Q233" s="5">
        <f t="shared" si="11"/>
        <v>262</v>
      </c>
      <c r="R233" s="5">
        <v>0</v>
      </c>
      <c r="S233" s="5">
        <v>1</v>
      </c>
      <c r="T233" s="5" t="s">
        <v>989</v>
      </c>
      <c r="U233" s="5"/>
      <c r="V233" s="5"/>
      <c r="W233" s="5"/>
      <c r="X233" s="5" t="s">
        <v>183</v>
      </c>
      <c r="Y233" s="10" t="s">
        <v>335</v>
      </c>
      <c r="Z233" s="5" t="s">
        <v>809</v>
      </c>
    </row>
    <row r="234" spans="1:27" x14ac:dyDescent="0.2">
      <c r="A234" s="5">
        <v>107015</v>
      </c>
      <c r="B234" s="5" t="s">
        <v>981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628</v>
      </c>
      <c r="M234" s="5">
        <v>10</v>
      </c>
      <c r="N234" s="5">
        <v>17</v>
      </c>
      <c r="O234" s="5"/>
      <c r="P234" s="5"/>
      <c r="Q234" s="5">
        <f t="shared" si="11"/>
        <v>87</v>
      </c>
      <c r="R234" s="5">
        <v>0</v>
      </c>
      <c r="S234" s="5">
        <v>1</v>
      </c>
      <c r="T234" s="5" t="s">
        <v>989</v>
      </c>
      <c r="U234" s="5"/>
      <c r="V234" s="5"/>
      <c r="W234" s="5"/>
      <c r="X234" s="5" t="s">
        <v>183</v>
      </c>
      <c r="Y234" s="10" t="s">
        <v>335</v>
      </c>
      <c r="Z234" s="5" t="s">
        <v>810</v>
      </c>
    </row>
    <row r="235" spans="1:27" x14ac:dyDescent="0.2">
      <c r="A235" s="5">
        <v>107016</v>
      </c>
      <c r="B235" s="5" t="s">
        <v>980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628</v>
      </c>
      <c r="M235" s="5">
        <v>10</v>
      </c>
      <c r="N235" s="5">
        <v>17</v>
      </c>
      <c r="O235" s="5"/>
      <c r="P235" s="5"/>
      <c r="Q235" s="5">
        <f t="shared" si="11"/>
        <v>25</v>
      </c>
      <c r="R235" s="5">
        <v>0</v>
      </c>
      <c r="S235" s="5">
        <v>1</v>
      </c>
      <c r="T235" s="5" t="s">
        <v>989</v>
      </c>
      <c r="U235" s="5"/>
      <c r="V235" s="5"/>
      <c r="W235" s="5"/>
      <c r="X235" s="5" t="s">
        <v>183</v>
      </c>
      <c r="Y235" s="10" t="s">
        <v>335</v>
      </c>
      <c r="Z235" s="5" t="s">
        <v>811</v>
      </c>
      <c r="AA235" s="5"/>
    </row>
    <row r="236" spans="1:27" x14ac:dyDescent="0.2">
      <c r="A236" s="5">
        <v>107017</v>
      </c>
      <c r="B236" s="5" t="s">
        <v>979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628</v>
      </c>
      <c r="M236" s="5">
        <v>10</v>
      </c>
      <c r="N236" s="5">
        <v>17</v>
      </c>
      <c r="O236" s="5"/>
      <c r="P236" s="5"/>
      <c r="Q236" s="5">
        <f t="shared" si="11"/>
        <v>38</v>
      </c>
      <c r="R236" s="5">
        <v>0</v>
      </c>
      <c r="S236" s="5">
        <v>1</v>
      </c>
      <c r="T236" s="5" t="s">
        <v>989</v>
      </c>
      <c r="U236" s="5"/>
      <c r="V236" s="5"/>
      <c r="W236" s="5"/>
      <c r="X236" s="5" t="s">
        <v>183</v>
      </c>
      <c r="Y236" s="10" t="s">
        <v>335</v>
      </c>
      <c r="Z236" s="5" t="s">
        <v>814</v>
      </c>
    </row>
    <row r="237" spans="1:27" x14ac:dyDescent="0.2">
      <c r="A237" s="5">
        <v>107018</v>
      </c>
      <c r="B237" s="5" t="s">
        <v>978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628</v>
      </c>
      <c r="M237" s="5">
        <v>10</v>
      </c>
      <c r="N237" s="5">
        <v>17</v>
      </c>
      <c r="O237" s="5"/>
      <c r="P237" s="5"/>
      <c r="Q237" s="5">
        <f t="shared" si="11"/>
        <v>25</v>
      </c>
      <c r="R237" s="5">
        <v>0</v>
      </c>
      <c r="S237" s="5">
        <v>1</v>
      </c>
      <c r="T237" s="5" t="s">
        <v>989</v>
      </c>
      <c r="U237" s="5"/>
      <c r="V237" s="5"/>
      <c r="W237" s="5"/>
      <c r="X237" s="5" t="s">
        <v>183</v>
      </c>
      <c r="Y237" s="10" t="s">
        <v>335</v>
      </c>
      <c r="Z237" s="5" t="s">
        <v>812</v>
      </c>
    </row>
    <row r="238" spans="1:27" x14ac:dyDescent="0.2">
      <c r="A238" s="5">
        <v>107019</v>
      </c>
      <c r="B238" s="5" t="s">
        <v>977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628</v>
      </c>
      <c r="M238" s="5">
        <v>10</v>
      </c>
      <c r="N238" s="5">
        <v>17</v>
      </c>
      <c r="O238" s="5"/>
      <c r="P238" s="5"/>
      <c r="Q238" s="5">
        <f t="shared" si="11"/>
        <v>529</v>
      </c>
      <c r="R238" s="5">
        <v>0</v>
      </c>
      <c r="S238" s="5">
        <v>1</v>
      </c>
      <c r="T238" s="5" t="s">
        <v>989</v>
      </c>
      <c r="U238" s="5"/>
      <c r="V238" s="5"/>
      <c r="W238" s="5"/>
      <c r="X238" s="5" t="s">
        <v>183</v>
      </c>
      <c r="Y238" s="10" t="s">
        <v>335</v>
      </c>
      <c r="Z238" s="5" t="s">
        <v>813</v>
      </c>
    </row>
    <row r="239" spans="1:27" x14ac:dyDescent="0.2">
      <c r="A239" s="13">
        <v>100008</v>
      </c>
      <c r="B239" s="13" t="s">
        <v>566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695</v>
      </c>
      <c r="M239" s="5">
        <v>10</v>
      </c>
      <c r="N239" s="5">
        <v>17</v>
      </c>
      <c r="O239" s="5"/>
      <c r="P239" s="5"/>
      <c r="Q239" s="5">
        <v>0</v>
      </c>
      <c r="R239" s="5">
        <v>0</v>
      </c>
      <c r="S239" s="5">
        <v>1</v>
      </c>
      <c r="T239" s="5" t="s">
        <v>282</v>
      </c>
      <c r="U239" s="5"/>
      <c r="V239" s="5"/>
      <c r="W239" s="5"/>
      <c r="X239" s="5" t="s">
        <v>182</v>
      </c>
      <c r="Y239" s="10" t="s">
        <v>69</v>
      </c>
      <c r="Z239" s="5" t="s">
        <v>570</v>
      </c>
    </row>
    <row r="240" spans="1:27" x14ac:dyDescent="0.2">
      <c r="A240" s="5">
        <v>108001</v>
      </c>
      <c r="B240" s="5" t="s">
        <v>24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696</v>
      </c>
      <c r="M240" s="5">
        <v>10</v>
      </c>
      <c r="N240" s="5">
        <v>17</v>
      </c>
      <c r="O240" s="5"/>
      <c r="P240" s="5"/>
      <c r="Q240" s="5">
        <f t="shared" ref="Q240:Q266" si="12">MAX(25, INT(POWER(2.2,J240/45)))</f>
        <v>701</v>
      </c>
      <c r="R240" s="5">
        <v>0</v>
      </c>
      <c r="S240" s="5">
        <v>1</v>
      </c>
      <c r="T240" s="5" t="s">
        <v>283</v>
      </c>
      <c r="U240" s="5"/>
      <c r="V240" s="5" t="s">
        <v>364</v>
      </c>
      <c r="W240" s="5"/>
      <c r="X240" s="5" t="s">
        <v>183</v>
      </c>
      <c r="Y240" s="10" t="s">
        <v>328</v>
      </c>
      <c r="Z240" s="5" t="s">
        <v>419</v>
      </c>
    </row>
    <row r="241" spans="1:27" x14ac:dyDescent="0.2">
      <c r="A241" s="5">
        <v>108002</v>
      </c>
      <c r="B241" s="5" t="s">
        <v>57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696</v>
      </c>
      <c r="M241" s="5">
        <v>10</v>
      </c>
      <c r="N241" s="5">
        <v>17</v>
      </c>
      <c r="O241" s="5"/>
      <c r="P241" s="5"/>
      <c r="Q241" s="5">
        <f t="shared" si="12"/>
        <v>529</v>
      </c>
      <c r="R241" s="5">
        <v>0</v>
      </c>
      <c r="S241" s="5">
        <v>1</v>
      </c>
      <c r="T241" s="5" t="s">
        <v>283</v>
      </c>
      <c r="U241" s="5"/>
      <c r="V241" s="5" t="s">
        <v>348</v>
      </c>
      <c r="X241" s="5" t="s">
        <v>183</v>
      </c>
      <c r="Y241" s="10" t="s">
        <v>69</v>
      </c>
      <c r="Z241" s="5" t="s">
        <v>423</v>
      </c>
    </row>
    <row r="242" spans="1:27" x14ac:dyDescent="0.2">
      <c r="A242" s="5">
        <v>108003</v>
      </c>
      <c r="B242" s="5" t="s">
        <v>71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695</v>
      </c>
      <c r="M242" s="5">
        <v>10</v>
      </c>
      <c r="N242" s="5">
        <v>17</v>
      </c>
      <c r="O242">
        <v>30</v>
      </c>
      <c r="P242" s="5"/>
      <c r="Q242" s="5">
        <f t="shared" si="12"/>
        <v>40</v>
      </c>
      <c r="R242" s="5">
        <v>0</v>
      </c>
      <c r="S242" s="5">
        <v>3</v>
      </c>
      <c r="T242" s="5" t="s">
        <v>291</v>
      </c>
      <c r="U242" s="5"/>
      <c r="V242" s="5"/>
      <c r="X242" s="5" t="s">
        <v>186</v>
      </c>
      <c r="Y242" s="10" t="s">
        <v>330</v>
      </c>
      <c r="Z242" s="5" t="s">
        <v>425</v>
      </c>
      <c r="AA242" t="e">
        <f>COUNTIF([1]Sheet1!#REF!, "*"&amp; A242&amp;"*")</f>
        <v>#REF!</v>
      </c>
    </row>
    <row r="243" spans="1:27" x14ac:dyDescent="0.2">
      <c r="A243" s="5">
        <v>108004</v>
      </c>
      <c r="B243" s="5" t="s">
        <v>89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693</v>
      </c>
      <c r="M243" s="5">
        <v>10</v>
      </c>
      <c r="N243" s="5">
        <v>17</v>
      </c>
      <c r="O243">
        <v>30</v>
      </c>
      <c r="P243" s="5"/>
      <c r="Q243" s="5">
        <f t="shared" si="12"/>
        <v>821</v>
      </c>
      <c r="R243" s="5">
        <v>0</v>
      </c>
      <c r="S243" s="5">
        <v>3</v>
      </c>
      <c r="T243" s="5" t="s">
        <v>291</v>
      </c>
      <c r="U243" s="5"/>
      <c r="V243" s="5" t="s">
        <v>319</v>
      </c>
      <c r="W243" s="5"/>
      <c r="X243" s="5" t="s">
        <v>186</v>
      </c>
      <c r="Y243" s="10" t="s">
        <v>330</v>
      </c>
      <c r="Z243" s="5" t="s">
        <v>432</v>
      </c>
      <c r="AA243" t="e">
        <f>COUNTIF([1]Sheet1!#REF!, "*"&amp; A243&amp;"*")</f>
        <v>#REF!</v>
      </c>
    </row>
    <row r="244" spans="1:27" x14ac:dyDescent="0.2">
      <c r="A244" s="5">
        <v>108005</v>
      </c>
      <c r="B244" s="5" t="s">
        <v>55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697</v>
      </c>
      <c r="M244" s="5">
        <v>10</v>
      </c>
      <c r="N244" s="5">
        <v>17</v>
      </c>
      <c r="O244" s="5"/>
      <c r="P244" s="5"/>
      <c r="Q244" s="5">
        <f t="shared" si="12"/>
        <v>502</v>
      </c>
      <c r="R244" s="5">
        <v>0</v>
      </c>
      <c r="S244" s="5">
        <v>1</v>
      </c>
      <c r="T244" s="5" t="s">
        <v>295</v>
      </c>
      <c r="U244" s="5"/>
      <c r="V244" s="5" t="s">
        <v>258</v>
      </c>
      <c r="W244" s="5"/>
      <c r="X244" s="5" t="s">
        <v>184</v>
      </c>
      <c r="Y244" s="10" t="s">
        <v>69</v>
      </c>
      <c r="Z244" s="5" t="s">
        <v>421</v>
      </c>
      <c r="AA244" t="e">
        <f>COUNTIF([1]Sheet1!#REF!, "*"&amp; A244&amp;"*")</f>
        <v>#REF!</v>
      </c>
    </row>
    <row r="245" spans="1:27" x14ac:dyDescent="0.2">
      <c r="A245" s="5">
        <v>108006</v>
      </c>
      <c r="B245" s="5" t="s">
        <v>110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697</v>
      </c>
      <c r="M245" s="5">
        <v>10</v>
      </c>
      <c r="N245" s="5">
        <v>17</v>
      </c>
      <c r="O245" s="5"/>
      <c r="P245" s="5"/>
      <c r="Q245" s="5">
        <f t="shared" si="12"/>
        <v>341</v>
      </c>
      <c r="R245" s="5">
        <v>0</v>
      </c>
      <c r="S245" s="5">
        <v>1</v>
      </c>
      <c r="T245" s="5" t="s">
        <v>295</v>
      </c>
      <c r="U245" s="5"/>
      <c r="V245" s="5" t="s">
        <v>258</v>
      </c>
      <c r="W245" s="5"/>
      <c r="X245" s="5" t="s">
        <v>183</v>
      </c>
      <c r="Y245" s="10" t="s">
        <v>69</v>
      </c>
      <c r="Z245" s="5" t="s">
        <v>440</v>
      </c>
      <c r="AA245" t="e">
        <f>COUNTIF([1]Sheet1!#REF!, "*"&amp; A245&amp;"*")</f>
        <v>#REF!</v>
      </c>
    </row>
    <row r="246" spans="1:27" x14ac:dyDescent="0.2">
      <c r="A246" s="5">
        <v>108007</v>
      </c>
      <c r="B246" s="5" t="s">
        <v>681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693</v>
      </c>
      <c r="M246" s="5">
        <v>10</v>
      </c>
      <c r="N246" s="5">
        <v>17</v>
      </c>
      <c r="O246">
        <v>30</v>
      </c>
      <c r="P246" s="5"/>
      <c r="Q246" s="5">
        <f t="shared" si="12"/>
        <v>578</v>
      </c>
      <c r="R246" s="5">
        <v>0</v>
      </c>
      <c r="S246" s="5">
        <v>3</v>
      </c>
      <c r="T246" s="5" t="s">
        <v>289</v>
      </c>
      <c r="U246" s="5"/>
      <c r="V246" s="12" t="s">
        <v>396</v>
      </c>
      <c r="W246" s="5"/>
      <c r="X246" s="5" t="s">
        <v>186</v>
      </c>
      <c r="Y246" s="10" t="s">
        <v>167</v>
      </c>
      <c r="Z246" s="5" t="s">
        <v>438</v>
      </c>
      <c r="AA246" t="e">
        <f>COUNTIF([1]Sheet1!#REF!, "*"&amp; A246&amp;"*")</f>
        <v>#REF!</v>
      </c>
    </row>
    <row r="247" spans="1:27" x14ac:dyDescent="0.2">
      <c r="A247" s="5">
        <v>108008</v>
      </c>
      <c r="B247" s="5" t="s">
        <v>136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696</v>
      </c>
      <c r="M247" s="5">
        <v>10</v>
      </c>
      <c r="N247" s="5">
        <v>17</v>
      </c>
      <c r="O247" s="5"/>
      <c r="P247" s="5"/>
      <c r="Q247" s="5">
        <f t="shared" si="12"/>
        <v>713</v>
      </c>
      <c r="R247" s="5">
        <v>0</v>
      </c>
      <c r="S247" s="5">
        <v>1</v>
      </c>
      <c r="T247" s="5" t="s">
        <v>286</v>
      </c>
      <c r="U247" s="5"/>
      <c r="V247" t="s">
        <v>380</v>
      </c>
      <c r="W247" s="5"/>
      <c r="X247" s="5" t="s">
        <v>308</v>
      </c>
      <c r="Y247" s="10" t="s">
        <v>69</v>
      </c>
      <c r="Z247" s="5" t="s">
        <v>441</v>
      </c>
    </row>
    <row r="248" spans="1:27" x14ac:dyDescent="0.2">
      <c r="A248" s="5">
        <v>108009</v>
      </c>
      <c r="B248" s="5" t="s">
        <v>137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693</v>
      </c>
      <c r="M248" s="5">
        <v>10</v>
      </c>
      <c r="N248" s="5">
        <v>17</v>
      </c>
      <c r="O248">
        <v>40</v>
      </c>
      <c r="P248" s="5">
        <v>5</v>
      </c>
      <c r="Q248" s="5">
        <f t="shared" si="12"/>
        <v>558</v>
      </c>
      <c r="R248" s="5">
        <v>0</v>
      </c>
      <c r="S248" s="5">
        <v>3</v>
      </c>
      <c r="T248" s="5" t="s">
        <v>292</v>
      </c>
      <c r="U248" s="5"/>
      <c r="V248" s="5" t="s">
        <v>384</v>
      </c>
      <c r="W248" s="5"/>
      <c r="X248" s="5" t="s">
        <v>185</v>
      </c>
      <c r="Y248" s="10" t="s">
        <v>164</v>
      </c>
      <c r="Z248" s="5" t="s">
        <v>442</v>
      </c>
    </row>
    <row r="249" spans="1:27" x14ac:dyDescent="0.2">
      <c r="A249" s="5">
        <v>108010</v>
      </c>
      <c r="B249" s="5" t="s">
        <v>241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696</v>
      </c>
      <c r="M249" s="5">
        <v>10</v>
      </c>
      <c r="N249" s="5">
        <v>17</v>
      </c>
      <c r="O249" s="5"/>
      <c r="P249" s="5"/>
      <c r="Q249" s="5">
        <f t="shared" si="12"/>
        <v>806</v>
      </c>
      <c r="R249" s="5">
        <v>0</v>
      </c>
      <c r="S249" s="5">
        <v>1</v>
      </c>
      <c r="T249" s="5" t="s">
        <v>285</v>
      </c>
      <c r="U249" s="5"/>
      <c r="V249" s="5" t="s">
        <v>349</v>
      </c>
      <c r="W249" s="5"/>
      <c r="X249" s="5" t="s">
        <v>183</v>
      </c>
      <c r="Y249" s="10" t="s">
        <v>69</v>
      </c>
      <c r="Z249" s="5" t="s">
        <v>444</v>
      </c>
    </row>
    <row r="250" spans="1:27" x14ac:dyDescent="0.2">
      <c r="A250" s="5">
        <v>108011</v>
      </c>
      <c r="B250" s="5" t="s">
        <v>248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696</v>
      </c>
      <c r="M250" s="5">
        <v>10</v>
      </c>
      <c r="N250" s="5">
        <v>17</v>
      </c>
      <c r="O250">
        <v>40</v>
      </c>
      <c r="P250" s="5">
        <v>5</v>
      </c>
      <c r="Q250" s="5">
        <f t="shared" si="12"/>
        <v>850</v>
      </c>
      <c r="R250" s="5">
        <v>0</v>
      </c>
      <c r="S250" s="5">
        <v>3</v>
      </c>
      <c r="T250" s="5" t="s">
        <v>292</v>
      </c>
      <c r="U250" s="5"/>
      <c r="V250" s="5" t="s">
        <v>393</v>
      </c>
      <c r="W250" s="5"/>
      <c r="X250" s="5" t="s">
        <v>185</v>
      </c>
      <c r="Y250" s="10" t="s">
        <v>164</v>
      </c>
      <c r="Z250" s="5" t="s">
        <v>554</v>
      </c>
    </row>
    <row r="251" spans="1:27" x14ac:dyDescent="0.2">
      <c r="A251" s="5">
        <v>108012</v>
      </c>
      <c r="B251" s="5" t="s">
        <v>676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694</v>
      </c>
      <c r="M251" s="5">
        <v>10</v>
      </c>
      <c r="N251" s="5">
        <v>17</v>
      </c>
      <c r="O251" s="5"/>
      <c r="P251" s="5"/>
      <c r="Q251" s="5">
        <f t="shared" si="12"/>
        <v>155</v>
      </c>
      <c r="R251" s="5">
        <v>0</v>
      </c>
      <c r="S251" s="5">
        <v>1</v>
      </c>
      <c r="T251" s="5" t="s">
        <v>989</v>
      </c>
      <c r="U251" s="5"/>
      <c r="V251" s="5"/>
      <c r="W251" s="5"/>
      <c r="X251" s="5" t="s">
        <v>183</v>
      </c>
      <c r="Y251" s="10" t="s">
        <v>335</v>
      </c>
      <c r="Z251" s="5" t="s">
        <v>900</v>
      </c>
    </row>
    <row r="252" spans="1:27" x14ac:dyDescent="0.2">
      <c r="A252" s="5">
        <v>108013</v>
      </c>
      <c r="B252" s="5" t="s">
        <v>677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694</v>
      </c>
      <c r="M252" s="5">
        <v>10</v>
      </c>
      <c r="N252" s="5">
        <v>17</v>
      </c>
      <c r="O252" s="5"/>
      <c r="P252" s="5"/>
      <c r="Q252" s="5">
        <f t="shared" si="12"/>
        <v>209</v>
      </c>
      <c r="R252" s="5">
        <v>0</v>
      </c>
      <c r="S252" s="5">
        <v>1</v>
      </c>
      <c r="T252" s="5" t="s">
        <v>989</v>
      </c>
      <c r="U252" s="5"/>
      <c r="V252" s="5"/>
      <c r="W252" s="5"/>
      <c r="X252" s="5" t="s">
        <v>183</v>
      </c>
      <c r="Y252" s="10" t="s">
        <v>335</v>
      </c>
      <c r="Z252" s="5" t="s">
        <v>854</v>
      </c>
    </row>
    <row r="253" spans="1:27" x14ac:dyDescent="0.2">
      <c r="A253" s="5">
        <v>108014</v>
      </c>
      <c r="B253" s="5" t="s">
        <v>678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695</v>
      </c>
      <c r="M253" s="5">
        <v>10</v>
      </c>
      <c r="N253" s="5">
        <v>17</v>
      </c>
      <c r="O253" s="5"/>
      <c r="P253" s="5"/>
      <c r="Q253" s="5">
        <f t="shared" si="12"/>
        <v>240</v>
      </c>
      <c r="R253" s="5">
        <v>0</v>
      </c>
      <c r="S253" s="5">
        <v>1</v>
      </c>
      <c r="T253" s="5" t="s">
        <v>989</v>
      </c>
      <c r="U253" s="5"/>
      <c r="V253" s="5"/>
      <c r="W253" s="5"/>
      <c r="X253" s="5" t="s">
        <v>183</v>
      </c>
      <c r="Y253" s="10" t="s">
        <v>335</v>
      </c>
      <c r="Z253" s="5" t="s">
        <v>901</v>
      </c>
    </row>
    <row r="254" spans="1:27" x14ac:dyDescent="0.2">
      <c r="A254" s="5">
        <v>108015</v>
      </c>
      <c r="B254" s="5" t="s">
        <v>679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694</v>
      </c>
      <c r="M254" s="5">
        <v>10</v>
      </c>
      <c r="N254" s="5">
        <v>17</v>
      </c>
      <c r="O254" s="5"/>
      <c r="P254" s="5"/>
      <c r="Q254" s="5">
        <f t="shared" si="12"/>
        <v>100</v>
      </c>
      <c r="R254" s="5">
        <v>0</v>
      </c>
      <c r="S254" s="5">
        <v>1</v>
      </c>
      <c r="T254" s="5" t="s">
        <v>989</v>
      </c>
      <c r="U254" s="5"/>
      <c r="V254" s="5"/>
      <c r="W254" s="5"/>
      <c r="X254" s="5" t="s">
        <v>183</v>
      </c>
      <c r="Y254" s="10" t="s">
        <v>335</v>
      </c>
      <c r="Z254" s="5" t="s">
        <v>878</v>
      </c>
    </row>
    <row r="255" spans="1:27" x14ac:dyDescent="0.2">
      <c r="A255" s="5">
        <v>108016</v>
      </c>
      <c r="B255" s="5" t="s">
        <v>680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694</v>
      </c>
      <c r="M255" s="5">
        <v>10</v>
      </c>
      <c r="N255" s="5">
        <v>17</v>
      </c>
      <c r="O255" s="5"/>
      <c r="P255" s="5"/>
      <c r="Q255" s="5">
        <f t="shared" si="12"/>
        <v>147</v>
      </c>
      <c r="R255" s="5">
        <v>0</v>
      </c>
      <c r="S255" s="5">
        <v>1</v>
      </c>
      <c r="T255" s="5" t="s">
        <v>989</v>
      </c>
      <c r="U255" s="5"/>
      <c r="V255" s="5"/>
      <c r="W255" s="5"/>
      <c r="X255" s="5" t="s">
        <v>183</v>
      </c>
      <c r="Y255" s="10" t="s">
        <v>335</v>
      </c>
      <c r="Z255" s="5" t="s">
        <v>879</v>
      </c>
    </row>
    <row r="256" spans="1:27" x14ac:dyDescent="0.2">
      <c r="A256" s="5">
        <v>108017</v>
      </c>
      <c r="B256" s="5" t="s">
        <v>682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693</v>
      </c>
      <c r="M256" s="5">
        <v>10</v>
      </c>
      <c r="N256" s="5">
        <v>17</v>
      </c>
      <c r="O256" s="5"/>
      <c r="P256" s="5"/>
      <c r="Q256" s="5">
        <f t="shared" si="12"/>
        <v>347</v>
      </c>
      <c r="R256" s="5">
        <v>0</v>
      </c>
      <c r="S256" s="5">
        <v>1</v>
      </c>
      <c r="T256" s="5" t="s">
        <v>989</v>
      </c>
      <c r="U256" s="5"/>
      <c r="V256" s="5"/>
      <c r="W256" s="5"/>
      <c r="X256" s="5" t="s">
        <v>183</v>
      </c>
      <c r="Y256" s="10" t="s">
        <v>335</v>
      </c>
      <c r="Z256" s="5" t="s">
        <v>877</v>
      </c>
    </row>
    <row r="257" spans="1:27" x14ac:dyDescent="0.2">
      <c r="A257" s="5">
        <v>108018</v>
      </c>
      <c r="B257" s="5" t="s">
        <v>683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693</v>
      </c>
      <c r="M257" s="5">
        <v>10</v>
      </c>
      <c r="N257" s="5">
        <v>17</v>
      </c>
      <c r="O257" s="5"/>
      <c r="P257" s="5"/>
      <c r="Q257" s="5">
        <f t="shared" si="12"/>
        <v>318</v>
      </c>
      <c r="R257" s="5">
        <v>0</v>
      </c>
      <c r="S257" s="5">
        <v>1</v>
      </c>
      <c r="T257" s="5" t="s">
        <v>989</v>
      </c>
      <c r="U257" s="5"/>
      <c r="V257" s="5"/>
      <c r="W257" s="5"/>
      <c r="X257" s="5" t="s">
        <v>183</v>
      </c>
      <c r="Y257" s="10" t="s">
        <v>335</v>
      </c>
      <c r="Z257" s="5" t="s">
        <v>880</v>
      </c>
    </row>
    <row r="258" spans="1:27" x14ac:dyDescent="0.2">
      <c r="A258" s="5">
        <v>108019</v>
      </c>
      <c r="B258" s="5" t="s">
        <v>684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695</v>
      </c>
      <c r="M258" s="5">
        <v>10</v>
      </c>
      <c r="N258" s="5">
        <v>17</v>
      </c>
      <c r="O258" s="5"/>
      <c r="P258" s="5"/>
      <c r="Q258" s="5">
        <f t="shared" si="12"/>
        <v>665</v>
      </c>
      <c r="R258" s="5">
        <v>0</v>
      </c>
      <c r="S258" s="5">
        <v>1</v>
      </c>
      <c r="T258" s="5" t="s">
        <v>989</v>
      </c>
      <c r="U258" s="5"/>
      <c r="V258" s="5"/>
      <c r="W258" s="5"/>
      <c r="X258" s="5" t="s">
        <v>183</v>
      </c>
      <c r="Y258" s="10" t="s">
        <v>335</v>
      </c>
      <c r="Z258" s="5" t="s">
        <v>881</v>
      </c>
    </row>
    <row r="259" spans="1:27" x14ac:dyDescent="0.2">
      <c r="A259" s="5">
        <v>108020</v>
      </c>
      <c r="B259" s="5" t="s">
        <v>685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695</v>
      </c>
      <c r="M259" s="5">
        <v>10</v>
      </c>
      <c r="N259" s="5">
        <v>17</v>
      </c>
      <c r="O259" s="5"/>
      <c r="P259" s="5"/>
      <c r="Q259" s="5">
        <f t="shared" si="12"/>
        <v>236</v>
      </c>
      <c r="R259" s="5">
        <v>0</v>
      </c>
      <c r="S259" s="5">
        <v>1</v>
      </c>
      <c r="T259" s="5" t="s">
        <v>989</v>
      </c>
      <c r="U259" s="5"/>
      <c r="V259" s="5"/>
      <c r="W259" s="5"/>
      <c r="X259" s="5" t="s">
        <v>183</v>
      </c>
      <c r="Y259" s="10" t="s">
        <v>335</v>
      </c>
      <c r="Z259" s="5" t="s">
        <v>882</v>
      </c>
    </row>
    <row r="260" spans="1:27" x14ac:dyDescent="0.2">
      <c r="A260" s="5">
        <v>108021</v>
      </c>
      <c r="B260" s="5" t="s">
        <v>686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698</v>
      </c>
      <c r="M260" s="5">
        <v>10</v>
      </c>
      <c r="N260" s="5">
        <v>17</v>
      </c>
      <c r="O260" s="5"/>
      <c r="P260" s="5"/>
      <c r="Q260" s="5">
        <f t="shared" si="12"/>
        <v>137</v>
      </c>
      <c r="R260" s="5">
        <v>0</v>
      </c>
      <c r="S260" s="5">
        <v>1</v>
      </c>
      <c r="T260" s="5" t="s">
        <v>989</v>
      </c>
      <c r="U260" s="5"/>
      <c r="V260" s="5"/>
      <c r="W260" s="5"/>
      <c r="X260" s="5" t="s">
        <v>183</v>
      </c>
      <c r="Y260" s="10" t="s">
        <v>335</v>
      </c>
      <c r="Z260" s="5" t="s">
        <v>815</v>
      </c>
    </row>
    <row r="261" spans="1:27" x14ac:dyDescent="0.2">
      <c r="A261" s="5">
        <v>108022</v>
      </c>
      <c r="B261" s="5" t="s">
        <v>687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752</v>
      </c>
      <c r="M261" s="5">
        <v>10</v>
      </c>
      <c r="N261" s="5">
        <v>17</v>
      </c>
      <c r="O261" s="5"/>
      <c r="P261" s="5"/>
      <c r="Q261" s="5">
        <f t="shared" si="12"/>
        <v>253</v>
      </c>
      <c r="R261" s="5">
        <v>0</v>
      </c>
      <c r="S261" s="5">
        <v>1</v>
      </c>
      <c r="T261" s="5" t="s">
        <v>989</v>
      </c>
      <c r="U261" s="5"/>
      <c r="V261" s="5"/>
      <c r="W261" s="5"/>
      <c r="X261" s="5" t="s">
        <v>183</v>
      </c>
      <c r="Y261" s="10" t="s">
        <v>335</v>
      </c>
      <c r="Z261" s="5" t="s">
        <v>883</v>
      </c>
    </row>
    <row r="262" spans="1:27" x14ac:dyDescent="0.2">
      <c r="A262" s="5">
        <v>108023</v>
      </c>
      <c r="B262" s="5" t="s">
        <v>884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752</v>
      </c>
      <c r="M262" s="5">
        <v>10</v>
      </c>
      <c r="N262" s="5">
        <v>17</v>
      </c>
      <c r="O262" s="5"/>
      <c r="P262" s="5"/>
      <c r="Q262" s="5">
        <f t="shared" si="12"/>
        <v>75</v>
      </c>
      <c r="R262" s="5">
        <v>0</v>
      </c>
      <c r="S262" s="5">
        <v>1</v>
      </c>
      <c r="T262" s="5" t="s">
        <v>989</v>
      </c>
      <c r="U262" s="5"/>
      <c r="V262" s="5"/>
      <c r="W262" s="5"/>
      <c r="X262" s="5" t="s">
        <v>183</v>
      </c>
      <c r="Y262" s="10" t="s">
        <v>335</v>
      </c>
      <c r="Z262" s="5" t="s">
        <v>885</v>
      </c>
    </row>
    <row r="263" spans="1:27" x14ac:dyDescent="0.2">
      <c r="A263" s="5">
        <v>108024</v>
      </c>
      <c r="B263" s="5" t="s">
        <v>688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695</v>
      </c>
      <c r="M263" s="5">
        <v>10</v>
      </c>
      <c r="N263" s="5">
        <v>17</v>
      </c>
      <c r="O263" s="5"/>
      <c r="P263" s="5"/>
      <c r="Q263" s="5">
        <f t="shared" si="12"/>
        <v>160</v>
      </c>
      <c r="R263" s="5">
        <v>0</v>
      </c>
      <c r="S263" s="5">
        <v>1</v>
      </c>
      <c r="T263" s="5" t="s">
        <v>989</v>
      </c>
      <c r="U263" s="5"/>
      <c r="V263" s="5"/>
      <c r="W263" s="5"/>
      <c r="X263" s="5" t="s">
        <v>183</v>
      </c>
      <c r="Y263" s="10" t="s">
        <v>335</v>
      </c>
      <c r="Z263" s="5" t="s">
        <v>833</v>
      </c>
      <c r="AA263" t="e">
        <f>COUNTIF([1]Sheet1!#REF!, "*"&amp; A263&amp;"*")</f>
        <v>#REF!</v>
      </c>
    </row>
    <row r="264" spans="1:27" x14ac:dyDescent="0.2">
      <c r="A264" s="5">
        <v>108025</v>
      </c>
      <c r="B264" s="5" t="s">
        <v>689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695</v>
      </c>
      <c r="M264" s="5">
        <v>10</v>
      </c>
      <c r="N264" s="5">
        <v>17</v>
      </c>
      <c r="O264" s="5"/>
      <c r="P264" s="5"/>
      <c r="Q264" s="5">
        <f t="shared" si="12"/>
        <v>71</v>
      </c>
      <c r="R264" s="5">
        <v>0</v>
      </c>
      <c r="S264" s="5">
        <v>1</v>
      </c>
      <c r="T264" s="5" t="s">
        <v>989</v>
      </c>
      <c r="U264" s="5"/>
      <c r="V264" s="5"/>
      <c r="W264" s="5"/>
      <c r="X264" s="5" t="s">
        <v>183</v>
      </c>
      <c r="Y264" s="10" t="s">
        <v>335</v>
      </c>
      <c r="Z264" s="5" t="s">
        <v>834</v>
      </c>
      <c r="AA264" t="e">
        <f>COUNTIF([1]Sheet1!#REF!, "*"&amp; A264&amp;"*")</f>
        <v>#REF!</v>
      </c>
    </row>
    <row r="265" spans="1:27" x14ac:dyDescent="0.2">
      <c r="A265" s="5">
        <v>108026</v>
      </c>
      <c r="B265" s="5" t="s">
        <v>690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695</v>
      </c>
      <c r="M265" s="5">
        <v>10</v>
      </c>
      <c r="N265" s="5">
        <v>17</v>
      </c>
      <c r="O265" s="5"/>
      <c r="P265" s="5"/>
      <c r="Q265" s="5">
        <f t="shared" si="12"/>
        <v>77</v>
      </c>
      <c r="R265" s="5">
        <v>0</v>
      </c>
      <c r="S265" s="5">
        <v>1</v>
      </c>
      <c r="T265" s="5" t="s">
        <v>989</v>
      </c>
      <c r="U265" s="5"/>
      <c r="V265" s="5"/>
      <c r="W265" s="5"/>
      <c r="X265" s="5" t="s">
        <v>183</v>
      </c>
      <c r="Y265" s="10" t="s">
        <v>335</v>
      </c>
      <c r="Z265" s="5" t="s">
        <v>835</v>
      </c>
      <c r="AA265" t="e">
        <f>COUNTIF([1]Sheet1!#REF!, "*"&amp; A265&amp;"*")</f>
        <v>#REF!</v>
      </c>
    </row>
    <row r="266" spans="1:27" x14ac:dyDescent="0.2">
      <c r="A266" s="5">
        <v>108027</v>
      </c>
      <c r="B266" s="5" t="s">
        <v>691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695</v>
      </c>
      <c r="M266" s="5">
        <v>10</v>
      </c>
      <c r="N266" s="5">
        <v>17</v>
      </c>
      <c r="O266" s="5"/>
      <c r="P266" s="5"/>
      <c r="Q266" s="5">
        <f t="shared" si="12"/>
        <v>41</v>
      </c>
      <c r="R266" s="5">
        <v>0</v>
      </c>
      <c r="S266" s="5">
        <v>1</v>
      </c>
      <c r="T266" s="5" t="s">
        <v>989</v>
      </c>
      <c r="U266" s="5"/>
      <c r="V266" s="5"/>
      <c r="W266" s="5"/>
      <c r="X266" s="5" t="s">
        <v>183</v>
      </c>
      <c r="Y266" s="10" t="s">
        <v>335</v>
      </c>
      <c r="Z266" s="5" t="s">
        <v>836</v>
      </c>
      <c r="AA266" t="e">
        <f>COUNTIF([1]Sheet1!#REF!, "*"&amp; A266&amp;"*")</f>
        <v>#REF!</v>
      </c>
    </row>
    <row r="267" spans="1:27" x14ac:dyDescent="0.2">
      <c r="A267" s="13">
        <v>100009</v>
      </c>
      <c r="B267" s="13" t="s">
        <v>567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620</v>
      </c>
      <c r="M267" s="5">
        <v>10</v>
      </c>
      <c r="N267" s="5">
        <v>17</v>
      </c>
      <c r="O267" s="5"/>
      <c r="P267" s="5"/>
      <c r="Q267" s="5">
        <v>0</v>
      </c>
      <c r="R267" s="5">
        <v>0</v>
      </c>
      <c r="S267" s="5">
        <v>1</v>
      </c>
      <c r="T267" s="5" t="s">
        <v>282</v>
      </c>
      <c r="U267" s="5"/>
      <c r="V267" s="5"/>
      <c r="W267" s="5"/>
      <c r="X267" s="5" t="s">
        <v>182</v>
      </c>
      <c r="Y267" s="10" t="s">
        <v>69</v>
      </c>
      <c r="Z267" s="5" t="s">
        <v>568</v>
      </c>
      <c r="AA267" t="e">
        <f>COUNTIF([1]Sheet1!#REF!, "*"&amp; A267&amp;"*")</f>
        <v>#REF!</v>
      </c>
    </row>
    <row r="268" spans="1:27" x14ac:dyDescent="0.2">
      <c r="A268" s="5">
        <v>109001</v>
      </c>
      <c r="B268" s="5" t="s">
        <v>583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620</v>
      </c>
      <c r="M268" s="5">
        <v>10</v>
      </c>
      <c r="N268" s="5">
        <v>17</v>
      </c>
      <c r="O268" s="5"/>
      <c r="P268" s="5"/>
      <c r="Q268" s="5">
        <f t="shared" ref="Q268:Q304" si="14">MAX(25, INT(POWER(2.2,J268/45)))</f>
        <v>128</v>
      </c>
      <c r="R268" s="5">
        <v>0</v>
      </c>
      <c r="S268" s="5">
        <v>1</v>
      </c>
      <c r="T268" s="5" t="s">
        <v>989</v>
      </c>
      <c r="U268" s="5"/>
      <c r="V268" s="5"/>
      <c r="W268" s="5"/>
      <c r="X268" s="5" t="s">
        <v>183</v>
      </c>
      <c r="Y268" s="10" t="s">
        <v>335</v>
      </c>
      <c r="Z268" s="5" t="s">
        <v>838</v>
      </c>
      <c r="AA268" t="e">
        <f>COUNTIF([1]Sheet1!#REF!, "*"&amp; A268&amp;"*")</f>
        <v>#REF!</v>
      </c>
    </row>
    <row r="269" spans="1:27" x14ac:dyDescent="0.2">
      <c r="A269" s="5">
        <v>109002</v>
      </c>
      <c r="B269" s="5" t="s">
        <v>584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621</v>
      </c>
      <c r="M269" s="5">
        <v>10</v>
      </c>
      <c r="N269" s="5">
        <v>17</v>
      </c>
      <c r="O269" s="5"/>
      <c r="P269" s="5"/>
      <c r="Q269" s="5">
        <f t="shared" si="14"/>
        <v>147</v>
      </c>
      <c r="R269" s="5">
        <v>0</v>
      </c>
      <c r="S269" s="5">
        <v>1</v>
      </c>
      <c r="T269" s="5" t="s">
        <v>989</v>
      </c>
      <c r="U269" s="5"/>
      <c r="V269" s="5"/>
      <c r="W269" s="5"/>
      <c r="X269" s="5" t="s">
        <v>183</v>
      </c>
      <c r="Y269" s="10" t="s">
        <v>335</v>
      </c>
      <c r="Z269" s="5" t="s">
        <v>837</v>
      </c>
      <c r="AA269" t="e">
        <f>COUNTIF([1]Sheet1!#REF!, "*"&amp; A269&amp;"*")</f>
        <v>#REF!</v>
      </c>
    </row>
    <row r="270" spans="1:27" x14ac:dyDescent="0.2">
      <c r="A270" s="5">
        <v>109003</v>
      </c>
      <c r="B270" s="5" t="s">
        <v>585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622</v>
      </c>
      <c r="M270" s="5">
        <v>10</v>
      </c>
      <c r="N270" s="5">
        <v>17</v>
      </c>
      <c r="O270" s="5"/>
      <c r="P270" s="5"/>
      <c r="Q270" s="5">
        <f t="shared" si="14"/>
        <v>70</v>
      </c>
      <c r="R270" s="5">
        <v>0</v>
      </c>
      <c r="S270" s="5">
        <v>1</v>
      </c>
      <c r="T270" s="5" t="s">
        <v>989</v>
      </c>
      <c r="U270" s="5"/>
      <c r="V270" s="5"/>
      <c r="W270" s="5"/>
      <c r="X270" s="5" t="s">
        <v>183</v>
      </c>
      <c r="Y270" s="10" t="s">
        <v>335</v>
      </c>
      <c r="Z270" s="5" t="s">
        <v>886</v>
      </c>
      <c r="AA270" t="e">
        <f>COUNTIF([1]Sheet1!#REF!, "*"&amp; A270&amp;"*")</f>
        <v>#REF!</v>
      </c>
    </row>
    <row r="271" spans="1:27" x14ac:dyDescent="0.2">
      <c r="A271" s="5">
        <v>109004</v>
      </c>
      <c r="B271" s="5" t="s">
        <v>586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621</v>
      </c>
      <c r="M271" s="5">
        <v>10</v>
      </c>
      <c r="N271" s="5">
        <v>17</v>
      </c>
      <c r="O271" s="5"/>
      <c r="P271" s="5"/>
      <c r="Q271" s="5">
        <f t="shared" si="14"/>
        <v>25</v>
      </c>
      <c r="R271" s="5">
        <v>0</v>
      </c>
      <c r="S271" s="5">
        <v>1</v>
      </c>
      <c r="T271" s="5" t="s">
        <v>989</v>
      </c>
      <c r="U271" s="5"/>
      <c r="V271" s="5"/>
      <c r="W271" s="5"/>
      <c r="X271" s="5" t="s">
        <v>183</v>
      </c>
      <c r="Y271" s="10" t="s">
        <v>335</v>
      </c>
      <c r="Z271" s="5" t="s">
        <v>887</v>
      </c>
      <c r="AA271" t="e">
        <f>COUNTIF([1]Sheet1!#REF!, "*"&amp; A271&amp;"*")</f>
        <v>#REF!</v>
      </c>
    </row>
    <row r="272" spans="1:27" x14ac:dyDescent="0.2">
      <c r="A272" s="5">
        <v>109005</v>
      </c>
      <c r="B272" s="5" t="s">
        <v>587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621</v>
      </c>
      <c r="M272" s="5">
        <v>10</v>
      </c>
      <c r="N272" s="5">
        <v>17</v>
      </c>
      <c r="O272" s="5"/>
      <c r="P272" s="5"/>
      <c r="Q272" s="5">
        <f t="shared" si="14"/>
        <v>25</v>
      </c>
      <c r="R272" s="5">
        <v>0</v>
      </c>
      <c r="S272" s="5">
        <v>1</v>
      </c>
      <c r="T272" s="5" t="s">
        <v>989</v>
      </c>
      <c r="U272" s="5"/>
      <c r="V272" s="5"/>
      <c r="W272" s="5"/>
      <c r="X272" s="5" t="s">
        <v>183</v>
      </c>
      <c r="Y272" s="10" t="s">
        <v>335</v>
      </c>
      <c r="Z272" s="5" t="s">
        <v>888</v>
      </c>
      <c r="AA272" t="e">
        <f>COUNTIF([1]Sheet1!#REF!, "*"&amp; A272&amp;"*")</f>
        <v>#REF!</v>
      </c>
    </row>
    <row r="273" spans="1:27" x14ac:dyDescent="0.2">
      <c r="A273" s="5">
        <v>109006</v>
      </c>
      <c r="B273" s="5" t="s">
        <v>588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621</v>
      </c>
      <c r="M273" s="5">
        <v>10</v>
      </c>
      <c r="N273" s="5">
        <v>17</v>
      </c>
      <c r="O273" s="5"/>
      <c r="P273" s="5"/>
      <c r="Q273" s="5">
        <f t="shared" si="14"/>
        <v>150</v>
      </c>
      <c r="R273" s="5">
        <v>0</v>
      </c>
      <c r="S273" s="5">
        <v>1</v>
      </c>
      <c r="T273" s="5" t="s">
        <v>989</v>
      </c>
      <c r="U273" s="5"/>
      <c r="V273" s="5"/>
      <c r="W273" s="5"/>
      <c r="X273" s="5" t="s">
        <v>183</v>
      </c>
      <c r="Y273" s="10" t="s">
        <v>335</v>
      </c>
      <c r="Z273" s="5" t="s">
        <v>889</v>
      </c>
      <c r="AA273" t="e">
        <f>COUNTIF([1]Sheet1!#REF!, "*"&amp; A273&amp;"*")</f>
        <v>#REF!</v>
      </c>
    </row>
    <row r="274" spans="1:27" x14ac:dyDescent="0.2">
      <c r="A274" s="13">
        <v>100010</v>
      </c>
      <c r="B274" s="13" t="s">
        <v>155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625</v>
      </c>
      <c r="M274" s="5">
        <v>10</v>
      </c>
      <c r="N274" s="5">
        <v>17</v>
      </c>
      <c r="O274" s="5"/>
      <c r="P274" s="5"/>
      <c r="Q274" s="5">
        <f t="shared" si="14"/>
        <v>198</v>
      </c>
      <c r="R274" s="5">
        <v>0</v>
      </c>
      <c r="S274" s="5">
        <v>1</v>
      </c>
      <c r="T274" s="5" t="s">
        <v>282</v>
      </c>
      <c r="U274" s="5"/>
      <c r="V274" s="5"/>
      <c r="W274" s="5"/>
      <c r="X274" s="5" t="s">
        <v>182</v>
      </c>
      <c r="Y274" s="10" t="s">
        <v>69</v>
      </c>
      <c r="Z274" s="5" t="s">
        <v>556</v>
      </c>
      <c r="AA274" t="e">
        <f>COUNTIF([1]Sheet1!#REF!, "*"&amp; A274&amp;"*")</f>
        <v>#REF!</v>
      </c>
    </row>
    <row r="275" spans="1:27" x14ac:dyDescent="0.2">
      <c r="A275" s="5">
        <v>110001</v>
      </c>
      <c r="B275" s="5" t="s">
        <v>589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625</v>
      </c>
      <c r="M275" s="5">
        <v>10</v>
      </c>
      <c r="N275" s="5">
        <v>17</v>
      </c>
      <c r="O275" s="5"/>
      <c r="P275" s="5"/>
      <c r="Q275" s="5">
        <f t="shared" si="14"/>
        <v>98</v>
      </c>
      <c r="R275" s="5">
        <v>0</v>
      </c>
      <c r="S275" s="5">
        <v>1</v>
      </c>
      <c r="T275" s="5" t="s">
        <v>989</v>
      </c>
      <c r="U275" s="5"/>
      <c r="V275" s="5"/>
      <c r="W275" s="5"/>
      <c r="X275" s="5" t="s">
        <v>183</v>
      </c>
      <c r="Y275" s="10" t="s">
        <v>335</v>
      </c>
      <c r="Z275" s="5" t="s">
        <v>839</v>
      </c>
    </row>
    <row r="276" spans="1:27" x14ac:dyDescent="0.2">
      <c r="A276" s="5">
        <v>110002</v>
      </c>
      <c r="B276" s="5" t="s">
        <v>590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625</v>
      </c>
      <c r="M276" s="5">
        <v>10</v>
      </c>
      <c r="N276" s="5">
        <v>17</v>
      </c>
      <c r="O276" s="5"/>
      <c r="P276" s="5"/>
      <c r="Q276" s="5">
        <f t="shared" si="14"/>
        <v>249</v>
      </c>
      <c r="R276" s="5">
        <v>0</v>
      </c>
      <c r="S276" s="5">
        <v>1</v>
      </c>
      <c r="T276" s="5" t="s">
        <v>989</v>
      </c>
      <c r="U276" s="5"/>
      <c r="V276" s="5"/>
      <c r="W276" s="5"/>
      <c r="X276" s="5" t="s">
        <v>183</v>
      </c>
      <c r="Y276" s="10" t="s">
        <v>335</v>
      </c>
      <c r="Z276" s="5" t="s">
        <v>890</v>
      </c>
    </row>
    <row r="277" spans="1:27" x14ac:dyDescent="0.2">
      <c r="A277" s="5">
        <v>110003</v>
      </c>
      <c r="B277" s="5" t="s">
        <v>591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625</v>
      </c>
      <c r="M277" s="5">
        <v>10</v>
      </c>
      <c r="N277" s="5">
        <v>17</v>
      </c>
      <c r="O277" s="5"/>
      <c r="P277" s="5"/>
      <c r="Q277" s="5">
        <f t="shared" si="14"/>
        <v>25</v>
      </c>
      <c r="R277" s="5">
        <v>0</v>
      </c>
      <c r="S277" s="5">
        <v>1</v>
      </c>
      <c r="T277" s="5" t="s">
        <v>989</v>
      </c>
      <c r="U277" s="5"/>
      <c r="V277" s="5"/>
      <c r="W277" s="5"/>
      <c r="X277" s="5" t="s">
        <v>183</v>
      </c>
      <c r="Y277" s="10" t="s">
        <v>335</v>
      </c>
      <c r="Z277" s="5" t="s">
        <v>891</v>
      </c>
    </row>
    <row r="278" spans="1:27" x14ac:dyDescent="0.2">
      <c r="A278" s="5">
        <v>110004</v>
      </c>
      <c r="B278" s="5" t="s">
        <v>935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625</v>
      </c>
      <c r="M278" s="5">
        <v>10</v>
      </c>
      <c r="N278" s="5">
        <v>17</v>
      </c>
      <c r="O278" s="5"/>
      <c r="P278" s="5"/>
      <c r="Q278" s="5">
        <f t="shared" si="14"/>
        <v>128</v>
      </c>
      <c r="R278" s="5">
        <v>0</v>
      </c>
      <c r="S278" s="5">
        <v>1</v>
      </c>
      <c r="T278" s="5" t="s">
        <v>989</v>
      </c>
      <c r="U278" s="5"/>
      <c r="V278" s="5"/>
      <c r="W278" s="5"/>
      <c r="X278" s="5" t="s">
        <v>183</v>
      </c>
      <c r="Y278" s="10" t="s">
        <v>335</v>
      </c>
      <c r="Z278" s="5" t="s">
        <v>936</v>
      </c>
    </row>
    <row r="279" spans="1:27" x14ac:dyDescent="0.2">
      <c r="A279" s="5">
        <v>110005</v>
      </c>
      <c r="B279" s="5" t="s">
        <v>937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625</v>
      </c>
      <c r="M279" s="5">
        <v>10</v>
      </c>
      <c r="N279" s="5">
        <v>17</v>
      </c>
      <c r="O279" s="5"/>
      <c r="P279" s="5"/>
      <c r="Q279" s="5">
        <f t="shared" si="14"/>
        <v>47</v>
      </c>
      <c r="R279" s="5">
        <v>0</v>
      </c>
      <c r="S279" s="5">
        <v>1</v>
      </c>
      <c r="T279" s="5" t="s">
        <v>989</v>
      </c>
      <c r="U279" s="5"/>
      <c r="V279" s="5"/>
      <c r="W279" s="5"/>
      <c r="X279" s="5" t="s">
        <v>183</v>
      </c>
      <c r="Y279" s="10" t="s">
        <v>335</v>
      </c>
      <c r="Z279" s="5" t="s">
        <v>938</v>
      </c>
    </row>
    <row r="280" spans="1:27" x14ac:dyDescent="0.2">
      <c r="A280" s="5">
        <v>110006</v>
      </c>
      <c r="B280" s="5" t="s">
        <v>592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626</v>
      </c>
      <c r="M280" s="5">
        <v>10</v>
      </c>
      <c r="N280" s="5">
        <v>17</v>
      </c>
      <c r="O280" s="5"/>
      <c r="P280" s="5"/>
      <c r="Q280" s="5">
        <f t="shared" si="14"/>
        <v>132</v>
      </c>
      <c r="R280" s="5">
        <v>0</v>
      </c>
      <c r="S280" s="5">
        <v>1</v>
      </c>
      <c r="T280" s="5" t="s">
        <v>989</v>
      </c>
      <c r="U280" s="5"/>
      <c r="V280" s="5"/>
      <c r="W280" s="5"/>
      <c r="X280" s="5" t="s">
        <v>183</v>
      </c>
      <c r="Y280" s="10" t="s">
        <v>335</v>
      </c>
      <c r="Z280" s="5" t="s">
        <v>892</v>
      </c>
    </row>
    <row r="281" spans="1:27" x14ac:dyDescent="0.2">
      <c r="A281" s="5">
        <v>110007</v>
      </c>
      <c r="B281" s="5" t="s">
        <v>593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625</v>
      </c>
      <c r="M281" s="5">
        <v>10</v>
      </c>
      <c r="N281" s="5">
        <v>17</v>
      </c>
      <c r="O281" s="5"/>
      <c r="P281" s="5"/>
      <c r="Q281" s="5">
        <f t="shared" si="14"/>
        <v>64</v>
      </c>
      <c r="R281" s="5">
        <v>0</v>
      </c>
      <c r="S281" s="5">
        <v>1</v>
      </c>
      <c r="T281" s="5" t="s">
        <v>989</v>
      </c>
      <c r="U281" s="5"/>
      <c r="V281" s="5"/>
      <c r="W281" s="5"/>
      <c r="X281" s="5" t="s">
        <v>183</v>
      </c>
      <c r="Y281" s="10" t="s">
        <v>335</v>
      </c>
      <c r="Z281" s="5" t="s">
        <v>951</v>
      </c>
      <c r="AA281" t="e">
        <f>COUNTIF([1]Sheet1!#REF!, "*"&amp; A281&amp;"*")</f>
        <v>#REF!</v>
      </c>
    </row>
    <row r="282" spans="1:27" x14ac:dyDescent="0.2">
      <c r="A282" s="5">
        <v>110008</v>
      </c>
      <c r="B282" s="5" t="s">
        <v>594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626</v>
      </c>
      <c r="M282" s="5">
        <v>10</v>
      </c>
      <c r="N282" s="5">
        <v>17</v>
      </c>
      <c r="O282" s="5"/>
      <c r="P282" s="5"/>
      <c r="Q282" s="5">
        <f t="shared" si="14"/>
        <v>74</v>
      </c>
      <c r="R282" s="5">
        <v>0</v>
      </c>
      <c r="S282" s="5">
        <v>1</v>
      </c>
      <c r="T282" s="5" t="s">
        <v>989</v>
      </c>
      <c r="U282" s="5"/>
      <c r="V282" s="5"/>
      <c r="W282" s="5"/>
      <c r="X282" s="5" t="s">
        <v>183</v>
      </c>
      <c r="Y282" s="10" t="s">
        <v>335</v>
      </c>
      <c r="Z282" s="5" t="s">
        <v>894</v>
      </c>
    </row>
    <row r="283" spans="1:27" x14ac:dyDescent="0.2">
      <c r="A283" s="5">
        <v>110009</v>
      </c>
      <c r="B283" s="5" t="s">
        <v>595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625</v>
      </c>
      <c r="M283" s="5">
        <v>10</v>
      </c>
      <c r="N283" s="5">
        <v>17</v>
      </c>
      <c r="O283" s="5"/>
      <c r="P283" s="5"/>
      <c r="Q283" s="5">
        <f t="shared" si="14"/>
        <v>63</v>
      </c>
      <c r="R283" s="5">
        <v>0</v>
      </c>
      <c r="S283" s="5">
        <v>1</v>
      </c>
      <c r="T283" s="5" t="s">
        <v>989</v>
      </c>
      <c r="U283" s="5"/>
      <c r="V283" s="5"/>
      <c r="W283" s="5"/>
      <c r="X283" s="5" t="s">
        <v>183</v>
      </c>
      <c r="Y283" s="10" t="s">
        <v>335</v>
      </c>
      <c r="Z283" s="5" t="s">
        <v>893</v>
      </c>
    </row>
    <row r="284" spans="1:27" x14ac:dyDescent="0.2">
      <c r="A284" s="5">
        <v>110010</v>
      </c>
      <c r="B284" s="5" t="s">
        <v>596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625</v>
      </c>
      <c r="M284" s="5">
        <v>10</v>
      </c>
      <c r="N284" s="5">
        <v>17</v>
      </c>
      <c r="O284" s="5"/>
      <c r="P284" s="5"/>
      <c r="Q284" s="5">
        <f t="shared" si="14"/>
        <v>44</v>
      </c>
      <c r="R284" s="5">
        <v>0</v>
      </c>
      <c r="S284" s="5">
        <v>1</v>
      </c>
      <c r="T284" s="5" t="s">
        <v>989</v>
      </c>
      <c r="U284" s="5"/>
      <c r="V284" s="5"/>
      <c r="W284" s="5"/>
      <c r="X284" s="5" t="s">
        <v>183</v>
      </c>
      <c r="Y284" s="10" t="s">
        <v>335</v>
      </c>
      <c r="Z284" s="5" t="s">
        <v>902</v>
      </c>
    </row>
    <row r="285" spans="1:27" x14ac:dyDescent="0.2">
      <c r="A285" s="5">
        <v>110011</v>
      </c>
      <c r="B285" s="5" t="s">
        <v>597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625</v>
      </c>
      <c r="M285" s="5">
        <v>10</v>
      </c>
      <c r="N285" s="5">
        <v>17</v>
      </c>
      <c r="O285" s="5"/>
      <c r="P285" s="5"/>
      <c r="Q285" s="5">
        <f t="shared" si="14"/>
        <v>29</v>
      </c>
      <c r="R285" s="5">
        <v>0</v>
      </c>
      <c r="S285" s="5">
        <v>1</v>
      </c>
      <c r="T285" s="5" t="s">
        <v>989</v>
      </c>
      <c r="U285" s="5"/>
      <c r="V285" s="5"/>
      <c r="W285" s="5"/>
      <c r="X285" s="5" t="s">
        <v>183</v>
      </c>
      <c r="Y285" s="10" t="s">
        <v>335</v>
      </c>
      <c r="Z285" s="5" t="s">
        <v>903</v>
      </c>
    </row>
    <row r="286" spans="1:27" x14ac:dyDescent="0.2">
      <c r="A286" s="5">
        <v>110012</v>
      </c>
      <c r="B286" s="5" t="s">
        <v>598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625</v>
      </c>
      <c r="M286" s="5">
        <v>10</v>
      </c>
      <c r="N286" s="5">
        <v>17</v>
      </c>
      <c r="O286" s="5"/>
      <c r="P286" s="5"/>
      <c r="Q286" s="5">
        <f t="shared" si="14"/>
        <v>29</v>
      </c>
      <c r="R286" s="5">
        <v>0</v>
      </c>
      <c r="S286" s="5">
        <v>1</v>
      </c>
      <c r="T286" s="5" t="s">
        <v>989</v>
      </c>
      <c r="U286" s="5"/>
      <c r="V286" s="5"/>
      <c r="W286" s="5"/>
      <c r="X286" s="5" t="s">
        <v>183</v>
      </c>
      <c r="Y286" s="10" t="s">
        <v>335</v>
      </c>
      <c r="Z286" s="5" t="s">
        <v>906</v>
      </c>
    </row>
    <row r="287" spans="1:27" x14ac:dyDescent="0.2">
      <c r="A287" s="5">
        <v>110013</v>
      </c>
      <c r="B287" s="5" t="s">
        <v>599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626</v>
      </c>
      <c r="M287" s="5">
        <v>10</v>
      </c>
      <c r="N287" s="5">
        <v>17</v>
      </c>
      <c r="O287" s="5"/>
      <c r="P287" s="5"/>
      <c r="Q287" s="5">
        <f t="shared" si="14"/>
        <v>117</v>
      </c>
      <c r="R287" s="5">
        <v>0</v>
      </c>
      <c r="S287" s="5">
        <v>1</v>
      </c>
      <c r="T287" s="5" t="s">
        <v>989</v>
      </c>
      <c r="U287" s="5"/>
      <c r="V287" s="5"/>
      <c r="W287" s="5"/>
      <c r="X287" s="5" t="s">
        <v>183</v>
      </c>
      <c r="Y287" s="10" t="s">
        <v>335</v>
      </c>
      <c r="Z287" s="5" t="s">
        <v>899</v>
      </c>
    </row>
    <row r="288" spans="1:27" x14ac:dyDescent="0.2">
      <c r="A288" s="5">
        <v>110014</v>
      </c>
      <c r="B288" s="5" t="s">
        <v>895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625</v>
      </c>
      <c r="M288" s="5">
        <v>10</v>
      </c>
      <c r="N288" s="5">
        <v>17</v>
      </c>
      <c r="O288" s="5"/>
      <c r="P288" s="5"/>
      <c r="Q288" s="5">
        <f t="shared" si="14"/>
        <v>98</v>
      </c>
      <c r="R288" s="5">
        <v>0</v>
      </c>
      <c r="S288" s="5">
        <v>1</v>
      </c>
      <c r="T288" s="5" t="s">
        <v>989</v>
      </c>
      <c r="U288" s="5"/>
      <c r="V288" s="5"/>
      <c r="W288" s="5"/>
      <c r="X288" s="5" t="s">
        <v>183</v>
      </c>
      <c r="Y288" s="10" t="s">
        <v>335</v>
      </c>
      <c r="Z288" s="5" t="s">
        <v>896</v>
      </c>
    </row>
    <row r="289" spans="1:27" x14ac:dyDescent="0.2">
      <c r="A289" s="5">
        <v>110015</v>
      </c>
      <c r="B289" s="5" t="s">
        <v>600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625</v>
      </c>
      <c r="M289" s="5">
        <v>10</v>
      </c>
      <c r="N289" s="5">
        <v>17</v>
      </c>
      <c r="O289" s="5"/>
      <c r="P289" s="5"/>
      <c r="Q289" s="5">
        <f t="shared" si="14"/>
        <v>84</v>
      </c>
      <c r="R289" s="5">
        <v>0</v>
      </c>
      <c r="S289" s="5">
        <v>1</v>
      </c>
      <c r="T289" s="5" t="s">
        <v>989</v>
      </c>
      <c r="U289" s="5"/>
      <c r="V289" s="5"/>
      <c r="W289" s="5"/>
      <c r="X289" s="5" t="s">
        <v>183</v>
      </c>
      <c r="Y289" s="10" t="s">
        <v>335</v>
      </c>
      <c r="Z289" s="5" t="s">
        <v>897</v>
      </c>
    </row>
    <row r="290" spans="1:27" x14ac:dyDescent="0.2">
      <c r="A290" s="5">
        <v>110016</v>
      </c>
      <c r="B290" s="5" t="s">
        <v>601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626</v>
      </c>
      <c r="M290" s="5">
        <v>10</v>
      </c>
      <c r="N290" s="5">
        <v>17</v>
      </c>
      <c r="O290" s="5"/>
      <c r="P290" s="5"/>
      <c r="Q290" s="5">
        <f t="shared" si="14"/>
        <v>45</v>
      </c>
      <c r="R290" s="5">
        <v>0</v>
      </c>
      <c r="S290" s="5">
        <v>1</v>
      </c>
      <c r="T290" s="5" t="s">
        <v>989</v>
      </c>
      <c r="U290" s="5"/>
      <c r="V290" s="5"/>
      <c r="W290" s="5"/>
      <c r="X290" s="5" t="s">
        <v>183</v>
      </c>
      <c r="Y290" s="10" t="s">
        <v>335</v>
      </c>
      <c r="Z290" s="5" t="s">
        <v>898</v>
      </c>
    </row>
    <row r="291" spans="1:27" x14ac:dyDescent="0.2">
      <c r="A291" s="5">
        <v>110017</v>
      </c>
      <c r="B291" s="5" t="s">
        <v>602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625</v>
      </c>
      <c r="M291" s="5">
        <v>10</v>
      </c>
      <c r="N291" s="5">
        <v>17</v>
      </c>
      <c r="O291" s="5"/>
      <c r="P291" s="5"/>
      <c r="Q291" s="5">
        <f t="shared" si="14"/>
        <v>539</v>
      </c>
      <c r="R291" s="5">
        <v>0</v>
      </c>
      <c r="S291" s="5">
        <v>1</v>
      </c>
      <c r="T291" s="5" t="s">
        <v>989</v>
      </c>
      <c r="U291" s="5"/>
      <c r="V291" s="5"/>
      <c r="W291" s="5"/>
      <c r="X291" s="5" t="s">
        <v>183</v>
      </c>
      <c r="Y291" s="10" t="s">
        <v>335</v>
      </c>
      <c r="Z291" s="5" t="s">
        <v>832</v>
      </c>
    </row>
    <row r="292" spans="1:27" x14ac:dyDescent="0.2">
      <c r="A292" s="13">
        <v>100011</v>
      </c>
      <c r="B292" s="13" t="s">
        <v>121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623</v>
      </c>
      <c r="M292" s="5">
        <v>10</v>
      </c>
      <c r="N292" s="5">
        <v>17</v>
      </c>
      <c r="O292" s="5"/>
      <c r="P292" s="5"/>
      <c r="Q292" s="5">
        <f t="shared" si="14"/>
        <v>568</v>
      </c>
      <c r="R292" s="5">
        <v>0</v>
      </c>
      <c r="S292" s="5">
        <v>1</v>
      </c>
      <c r="T292" s="5" t="s">
        <v>282</v>
      </c>
      <c r="U292" s="5"/>
      <c r="V292" s="5"/>
      <c r="W292" s="5"/>
      <c r="X292" s="5" t="s">
        <v>182</v>
      </c>
      <c r="Y292" s="10" t="s">
        <v>69</v>
      </c>
      <c r="Z292" s="5" t="s">
        <v>553</v>
      </c>
    </row>
    <row r="293" spans="1:27" x14ac:dyDescent="0.2">
      <c r="A293" s="5">
        <v>111001</v>
      </c>
      <c r="B293" s="14" t="s">
        <v>573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623</v>
      </c>
      <c r="M293" s="5">
        <v>10</v>
      </c>
      <c r="N293" s="5">
        <v>17</v>
      </c>
      <c r="O293" s="5"/>
      <c r="P293" s="5"/>
      <c r="Q293" s="5">
        <f t="shared" si="14"/>
        <v>318</v>
      </c>
      <c r="R293" s="5">
        <v>0</v>
      </c>
      <c r="S293" s="5">
        <v>1</v>
      </c>
      <c r="T293" s="5" t="s">
        <v>989</v>
      </c>
      <c r="U293" s="5"/>
      <c r="V293" s="5"/>
      <c r="W293" s="5"/>
      <c r="X293" s="5" t="s">
        <v>183</v>
      </c>
      <c r="Y293" s="10" t="s">
        <v>335</v>
      </c>
      <c r="Z293" s="5" t="s">
        <v>790</v>
      </c>
    </row>
    <row r="294" spans="1:27" x14ac:dyDescent="0.2">
      <c r="A294" s="5">
        <v>111002</v>
      </c>
      <c r="B294" s="14" t="s">
        <v>574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623</v>
      </c>
      <c r="M294" s="5">
        <v>10</v>
      </c>
      <c r="N294" s="5">
        <v>17</v>
      </c>
      <c r="O294" s="5"/>
      <c r="P294" s="5"/>
      <c r="Q294" s="5">
        <f t="shared" si="14"/>
        <v>169</v>
      </c>
      <c r="R294" s="5">
        <v>0</v>
      </c>
      <c r="S294" s="5">
        <v>1</v>
      </c>
      <c r="T294" s="5" t="s">
        <v>989</v>
      </c>
      <c r="U294" s="5"/>
      <c r="V294" s="5"/>
      <c r="W294" s="5"/>
      <c r="X294" s="5" t="s">
        <v>183</v>
      </c>
      <c r="Y294" s="10" t="s">
        <v>335</v>
      </c>
      <c r="Z294" s="5" t="s">
        <v>791</v>
      </c>
    </row>
    <row r="295" spans="1:27" x14ac:dyDescent="0.2">
      <c r="A295" s="5">
        <v>111003</v>
      </c>
      <c r="B295" s="14" t="s">
        <v>575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624</v>
      </c>
      <c r="M295" s="5">
        <v>10</v>
      </c>
      <c r="N295" s="5">
        <v>17</v>
      </c>
      <c r="O295" s="5"/>
      <c r="P295" s="5"/>
      <c r="Q295" s="5">
        <f t="shared" si="14"/>
        <v>79</v>
      </c>
      <c r="R295" s="5">
        <v>0</v>
      </c>
      <c r="S295" s="5">
        <v>1</v>
      </c>
      <c r="T295" s="5" t="s">
        <v>989</v>
      </c>
      <c r="U295" s="5"/>
      <c r="V295" s="5"/>
      <c r="W295" s="5"/>
      <c r="X295" s="5" t="s">
        <v>183</v>
      </c>
      <c r="Y295" s="10" t="s">
        <v>335</v>
      </c>
      <c r="Z295" s="5" t="s">
        <v>792</v>
      </c>
    </row>
    <row r="296" spans="1:27" x14ac:dyDescent="0.2">
      <c r="A296" s="5">
        <v>111004</v>
      </c>
      <c r="B296" s="14" t="s">
        <v>576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624</v>
      </c>
      <c r="M296" s="5">
        <v>10</v>
      </c>
      <c r="N296" s="5">
        <v>17</v>
      </c>
      <c r="O296" s="5"/>
      <c r="P296" s="5"/>
      <c r="Q296" s="5">
        <f t="shared" si="14"/>
        <v>653</v>
      </c>
      <c r="R296" s="5">
        <v>0</v>
      </c>
      <c r="S296" s="5">
        <v>1</v>
      </c>
      <c r="T296" s="5" t="s">
        <v>989</v>
      </c>
      <c r="U296" s="5"/>
      <c r="V296" s="5"/>
      <c r="W296" s="5"/>
      <c r="X296" s="5" t="s">
        <v>183</v>
      </c>
      <c r="Y296" s="10" t="s">
        <v>335</v>
      </c>
      <c r="Z296" s="5" t="s">
        <v>758</v>
      </c>
    </row>
    <row r="297" spans="1:27" x14ac:dyDescent="0.2">
      <c r="A297" s="5">
        <v>111005</v>
      </c>
      <c r="B297" s="14" t="s">
        <v>577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624</v>
      </c>
      <c r="M297" s="5">
        <v>10</v>
      </c>
      <c r="N297" s="5">
        <v>17</v>
      </c>
      <c r="O297" s="5"/>
      <c r="P297" s="5"/>
      <c r="Q297" s="5">
        <f t="shared" si="14"/>
        <v>240</v>
      </c>
      <c r="R297" s="5">
        <v>0</v>
      </c>
      <c r="S297" s="5">
        <v>1</v>
      </c>
      <c r="T297" s="5" t="s">
        <v>989</v>
      </c>
      <c r="U297" s="5"/>
      <c r="V297" s="5"/>
      <c r="W297" s="5"/>
      <c r="X297" s="5" t="s">
        <v>183</v>
      </c>
      <c r="Y297" s="10" t="s">
        <v>335</v>
      </c>
      <c r="Z297" s="5" t="s">
        <v>793</v>
      </c>
    </row>
    <row r="298" spans="1:27" x14ac:dyDescent="0.2">
      <c r="A298" s="5">
        <v>111006</v>
      </c>
      <c r="B298" s="14" t="s">
        <v>578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623</v>
      </c>
      <c r="M298" s="5">
        <v>10</v>
      </c>
      <c r="N298" s="5">
        <v>17</v>
      </c>
      <c r="O298" s="5"/>
      <c r="P298" s="5"/>
      <c r="Q298" s="5">
        <f t="shared" si="14"/>
        <v>147</v>
      </c>
      <c r="R298" s="5">
        <v>0</v>
      </c>
      <c r="S298" s="5">
        <v>1</v>
      </c>
      <c r="T298" s="5" t="s">
        <v>989</v>
      </c>
      <c r="U298" s="5"/>
      <c r="V298" s="5"/>
      <c r="W298" s="5"/>
      <c r="X298" s="5" t="s">
        <v>183</v>
      </c>
      <c r="Y298" s="10" t="s">
        <v>335</v>
      </c>
      <c r="Z298" s="5" t="s">
        <v>794</v>
      </c>
    </row>
    <row r="299" spans="1:27" x14ac:dyDescent="0.2">
      <c r="A299" s="5">
        <v>111007</v>
      </c>
      <c r="B299" s="14" t="s">
        <v>579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623</v>
      </c>
      <c r="M299" s="5">
        <v>10</v>
      </c>
      <c r="N299" s="5">
        <v>17</v>
      </c>
      <c r="O299" s="5"/>
      <c r="P299" s="5"/>
      <c r="Q299" s="5">
        <f t="shared" si="14"/>
        <v>56</v>
      </c>
      <c r="R299" s="5">
        <v>0</v>
      </c>
      <c r="S299" s="5">
        <v>1</v>
      </c>
      <c r="T299" s="5" t="s">
        <v>989</v>
      </c>
      <c r="U299" s="5"/>
      <c r="V299" s="5"/>
      <c r="W299" s="5"/>
      <c r="X299" s="5" t="s">
        <v>183</v>
      </c>
      <c r="Y299" s="10" t="s">
        <v>335</v>
      </c>
      <c r="Z299" s="5" t="s">
        <v>795</v>
      </c>
      <c r="AA299" t="e">
        <f>COUNTIF([1]Sheet1!#REF!, "*"&amp; A299&amp;"*")</f>
        <v>#REF!</v>
      </c>
    </row>
    <row r="300" spans="1:27" x14ac:dyDescent="0.2">
      <c r="A300" s="5">
        <v>111008</v>
      </c>
      <c r="B300" s="14" t="s">
        <v>580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623</v>
      </c>
      <c r="M300" s="5">
        <v>10</v>
      </c>
      <c r="N300" s="5">
        <v>17</v>
      </c>
      <c r="O300" s="5"/>
      <c r="P300" s="5"/>
      <c r="Q300" s="5">
        <f t="shared" si="14"/>
        <v>107</v>
      </c>
      <c r="R300" s="5">
        <v>0</v>
      </c>
      <c r="S300" s="5">
        <v>1</v>
      </c>
      <c r="T300" s="5" t="s">
        <v>989</v>
      </c>
      <c r="U300" s="5"/>
      <c r="V300" s="5"/>
      <c r="W300" s="5"/>
      <c r="X300" s="5" t="s">
        <v>183</v>
      </c>
      <c r="Y300" s="10" t="s">
        <v>335</v>
      </c>
      <c r="Z300" s="5" t="s">
        <v>796</v>
      </c>
      <c r="AA300" t="e">
        <f>COUNTIF([1]Sheet1!#REF!, "*"&amp; A300&amp;"*")</f>
        <v>#REF!</v>
      </c>
    </row>
    <row r="301" spans="1:27" x14ac:dyDescent="0.2">
      <c r="A301" s="5">
        <v>111009</v>
      </c>
      <c r="B301" s="14" t="s">
        <v>17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623</v>
      </c>
      <c r="M301" s="5">
        <v>10</v>
      </c>
      <c r="N301" s="5">
        <v>17</v>
      </c>
      <c r="O301" s="5"/>
      <c r="P301" s="5"/>
      <c r="Q301" s="5">
        <f t="shared" si="14"/>
        <v>1294</v>
      </c>
      <c r="R301" s="5">
        <v>0</v>
      </c>
      <c r="S301" s="5">
        <v>1</v>
      </c>
      <c r="T301" s="5" t="s">
        <v>296</v>
      </c>
      <c r="U301" s="5"/>
      <c r="V301" s="5" t="s">
        <v>269</v>
      </c>
      <c r="W301" s="5" t="s">
        <v>383</v>
      </c>
      <c r="X301" s="5" t="s">
        <v>183</v>
      </c>
      <c r="Y301" s="10" t="s">
        <v>336</v>
      </c>
      <c r="Z301" s="5" t="s">
        <v>406</v>
      </c>
      <c r="AA301" t="e">
        <f>COUNTIF([1]Sheet1!#REF!, "*"&amp; A301&amp;"*")</f>
        <v>#REF!</v>
      </c>
    </row>
    <row r="302" spans="1:27" x14ac:dyDescent="0.2">
      <c r="A302" s="13">
        <v>100012</v>
      </c>
      <c r="B302" s="13" t="s">
        <v>571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617</v>
      </c>
      <c r="M302" s="5">
        <v>10</v>
      </c>
      <c r="N302" s="5">
        <v>17</v>
      </c>
      <c r="O302" s="5"/>
      <c r="P302" s="5"/>
      <c r="Q302" s="5">
        <f t="shared" si="14"/>
        <v>228</v>
      </c>
      <c r="R302" s="5">
        <v>0</v>
      </c>
      <c r="S302" s="5">
        <v>1</v>
      </c>
      <c r="T302" s="5" t="s">
        <v>282</v>
      </c>
      <c r="U302" s="5"/>
      <c r="V302" s="5"/>
      <c r="W302" s="5"/>
      <c r="X302" s="5" t="s">
        <v>182</v>
      </c>
      <c r="Y302" s="10" t="s">
        <v>69</v>
      </c>
      <c r="Z302" s="5" t="s">
        <v>572</v>
      </c>
      <c r="AA302" t="e">
        <f>COUNTIF([1]Sheet1!#REF!, "*"&amp; A302&amp;"*")</f>
        <v>#REF!</v>
      </c>
    </row>
    <row r="303" spans="1:27" x14ac:dyDescent="0.2">
      <c r="A303" s="5">
        <v>112001</v>
      </c>
      <c r="B303" s="14" t="s">
        <v>581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617</v>
      </c>
      <c r="M303" s="5">
        <v>10</v>
      </c>
      <c r="N303" s="5">
        <v>17</v>
      </c>
      <c r="O303" s="5"/>
      <c r="P303" s="5"/>
      <c r="Q303" s="5">
        <f t="shared" si="14"/>
        <v>41</v>
      </c>
      <c r="R303" s="5">
        <v>0</v>
      </c>
      <c r="S303" s="5">
        <v>1</v>
      </c>
      <c r="T303" s="5" t="s">
        <v>989</v>
      </c>
      <c r="U303" s="5"/>
      <c r="V303" s="5"/>
      <c r="W303" s="5"/>
      <c r="X303" s="5" t="s">
        <v>183</v>
      </c>
      <c r="Y303" s="10" t="s">
        <v>335</v>
      </c>
      <c r="Z303" s="5" t="s">
        <v>788</v>
      </c>
      <c r="AA303" t="e">
        <f>COUNTIF([1]Sheet1!#REF!, "*"&amp; A303&amp;"*")</f>
        <v>#REF!</v>
      </c>
    </row>
    <row r="304" spans="1:27" x14ac:dyDescent="0.2">
      <c r="A304" s="5">
        <v>112002</v>
      </c>
      <c r="B304" s="14" t="s">
        <v>582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617</v>
      </c>
      <c r="M304" s="5">
        <v>10</v>
      </c>
      <c r="N304" s="5">
        <v>17</v>
      </c>
      <c r="O304" s="5"/>
      <c r="P304" s="5"/>
      <c r="Q304" s="5">
        <f t="shared" si="14"/>
        <v>185</v>
      </c>
      <c r="R304" s="5">
        <v>0</v>
      </c>
      <c r="S304" s="5">
        <v>1</v>
      </c>
      <c r="T304" s="5" t="s">
        <v>989</v>
      </c>
      <c r="U304" s="5"/>
      <c r="V304" s="5"/>
      <c r="W304" s="5"/>
      <c r="X304" s="5" t="s">
        <v>183</v>
      </c>
      <c r="Y304" s="10" t="s">
        <v>335</v>
      </c>
      <c r="Z304" s="5" t="s">
        <v>789</v>
      </c>
      <c r="AA304" t="e">
        <f>COUNTIF([1]Sheet1!#REF!, "*"&amp; A304&amp;"*")</f>
        <v>#REF!</v>
      </c>
    </row>
    <row r="305" spans="1:27" x14ac:dyDescent="0.2">
      <c r="A305" s="13">
        <v>100020</v>
      </c>
      <c r="B305" s="13" t="s">
        <v>197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>
        <v>10</v>
      </c>
      <c r="N305" s="5">
        <v>17</v>
      </c>
      <c r="O305" s="5"/>
      <c r="P305" s="5"/>
      <c r="Q305" s="5">
        <v>0</v>
      </c>
      <c r="R305" s="5">
        <v>0</v>
      </c>
      <c r="S305" s="5">
        <v>1</v>
      </c>
      <c r="T305" s="5" t="s">
        <v>282</v>
      </c>
      <c r="U305" s="5"/>
      <c r="V305" s="5"/>
      <c r="W305" s="5"/>
      <c r="X305" s="5" t="s">
        <v>182</v>
      </c>
      <c r="Y305" s="10" t="s">
        <v>69</v>
      </c>
      <c r="Z305" s="5" t="s">
        <v>198</v>
      </c>
      <c r="AA305" t="e">
        <f>COUNTIF([1]Sheet1!#REF!, "*"&amp; A305&amp;"*")</f>
        <v>#REF!</v>
      </c>
    </row>
    <row r="306" spans="1:27" x14ac:dyDescent="0.2">
      <c r="A306" s="5">
        <v>120001</v>
      </c>
      <c r="B306" s="5" t="s">
        <v>53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>
        <v>10</v>
      </c>
      <c r="N306" s="5">
        <v>17</v>
      </c>
      <c r="O306" s="5"/>
      <c r="P306" s="5"/>
      <c r="Q306" s="5">
        <f t="shared" ref="Q306:Q351" si="15">MAX(25, INT(POWER(2.2,J306/45)))</f>
        <v>1971</v>
      </c>
      <c r="R306" s="5">
        <v>0</v>
      </c>
      <c r="S306" s="5">
        <v>1</v>
      </c>
      <c r="T306" s="5" t="s">
        <v>286</v>
      </c>
      <c r="U306" s="5"/>
      <c r="V306" s="5" t="s">
        <v>340</v>
      </c>
      <c r="X306" s="5" t="s">
        <v>183</v>
      </c>
      <c r="Y306" s="10" t="s">
        <v>69</v>
      </c>
      <c r="Z306" s="5" t="s">
        <v>536</v>
      </c>
      <c r="AA306" t="e">
        <f>COUNTIF([1]Sheet1!#REF!, "*"&amp; A306&amp;"*")</f>
        <v>#REF!</v>
      </c>
    </row>
    <row r="307" spans="1:27" x14ac:dyDescent="0.2">
      <c r="A307" s="5">
        <v>120002</v>
      </c>
      <c r="B307" s="5" t="s">
        <v>113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>
        <v>10</v>
      </c>
      <c r="N307" s="5">
        <v>17</v>
      </c>
      <c r="O307">
        <v>36</v>
      </c>
      <c r="P307" s="5"/>
      <c r="Q307" s="5">
        <f t="shared" si="15"/>
        <v>865</v>
      </c>
      <c r="R307" s="5">
        <v>0</v>
      </c>
      <c r="S307" s="5">
        <v>3</v>
      </c>
      <c r="T307" s="5" t="s">
        <v>290</v>
      </c>
      <c r="U307" s="5"/>
      <c r="X307" s="5" t="s">
        <v>192</v>
      </c>
      <c r="Y307" s="10" t="s">
        <v>332</v>
      </c>
      <c r="Z307" s="5" t="s">
        <v>537</v>
      </c>
      <c r="AA307" t="e">
        <f>COUNTIF([1]Sheet1!#REF!, "*"&amp; A307&amp;"*")</f>
        <v>#REF!</v>
      </c>
    </row>
    <row r="308" spans="1:27" x14ac:dyDescent="0.2">
      <c r="A308" s="5">
        <v>120003</v>
      </c>
      <c r="B308" s="5" t="s">
        <v>114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>
        <v>10</v>
      </c>
      <c r="N308" s="5">
        <v>17</v>
      </c>
      <c r="O308">
        <v>36</v>
      </c>
      <c r="P308" s="5"/>
      <c r="Q308" s="5">
        <f t="shared" si="15"/>
        <v>665</v>
      </c>
      <c r="R308" s="5">
        <v>0</v>
      </c>
      <c r="S308" s="5">
        <v>3</v>
      </c>
      <c r="T308" s="5" t="s">
        <v>290</v>
      </c>
      <c r="U308" s="5"/>
      <c r="V308" s="12" t="s">
        <v>396</v>
      </c>
      <c r="X308" s="5" t="s">
        <v>192</v>
      </c>
      <c r="Y308" s="10" t="s">
        <v>332</v>
      </c>
      <c r="Z308" s="5" t="s">
        <v>538</v>
      </c>
      <c r="AA308" t="e">
        <f>COUNTIF([1]Sheet1!#REF!, "*"&amp; A308&amp;"*")</f>
        <v>#REF!</v>
      </c>
    </row>
    <row r="309" spans="1:27" x14ac:dyDescent="0.2">
      <c r="A309" s="5">
        <v>120004</v>
      </c>
      <c r="B309" s="5" t="s">
        <v>213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>
        <v>10</v>
      </c>
      <c r="N309" s="5">
        <v>17</v>
      </c>
      <c r="O309" s="5"/>
      <c r="P309" s="5"/>
      <c r="Q309" s="5">
        <f t="shared" si="15"/>
        <v>1570</v>
      </c>
      <c r="R309" s="5">
        <v>0</v>
      </c>
      <c r="S309" s="5">
        <v>1</v>
      </c>
      <c r="T309" s="5" t="s">
        <v>285</v>
      </c>
      <c r="U309" s="5"/>
      <c r="V309" t="s">
        <v>364</v>
      </c>
      <c r="X309" s="5" t="s">
        <v>184</v>
      </c>
      <c r="Y309" s="10" t="s">
        <v>69</v>
      </c>
      <c r="Z309" s="5" t="s">
        <v>539</v>
      </c>
      <c r="AA309" t="e">
        <f>COUNTIF([1]Sheet1!#REF!, "*"&amp; A309&amp;"*")</f>
        <v>#REF!</v>
      </c>
    </row>
    <row r="310" spans="1:27" x14ac:dyDescent="0.2">
      <c r="A310" s="5">
        <v>120005</v>
      </c>
      <c r="B310" s="5" t="s">
        <v>79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>
        <v>10</v>
      </c>
      <c r="N310" s="5">
        <v>17</v>
      </c>
      <c r="O310">
        <v>30</v>
      </c>
      <c r="P310" s="5"/>
      <c r="Q310" s="5">
        <f t="shared" si="15"/>
        <v>806</v>
      </c>
      <c r="R310" s="5">
        <v>0</v>
      </c>
      <c r="S310" s="5">
        <v>3</v>
      </c>
      <c r="T310" s="5" t="s">
        <v>289</v>
      </c>
      <c r="U310" s="5"/>
      <c r="V310" s="5" t="s">
        <v>380</v>
      </c>
      <c r="X310" s="5" t="s">
        <v>186</v>
      </c>
      <c r="Y310" s="10" t="s">
        <v>68</v>
      </c>
      <c r="Z310" s="5" t="s">
        <v>540</v>
      </c>
      <c r="AA310" t="e">
        <f>COUNTIF([1]Sheet1!#REF!, "*"&amp; A310&amp;"*")</f>
        <v>#REF!</v>
      </c>
    </row>
    <row r="311" spans="1:27" x14ac:dyDescent="0.2">
      <c r="A311" s="5">
        <v>120006</v>
      </c>
      <c r="B311" s="5" t="s">
        <v>135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>
        <v>10</v>
      </c>
      <c r="N311" s="5">
        <v>17</v>
      </c>
      <c r="O311" s="5"/>
      <c r="P311" s="5"/>
      <c r="Q311" s="5">
        <f t="shared" si="15"/>
        <v>928</v>
      </c>
      <c r="R311" s="5">
        <v>0</v>
      </c>
      <c r="S311" s="5">
        <v>1</v>
      </c>
      <c r="T311" s="5" t="s">
        <v>283</v>
      </c>
      <c r="U311" s="5"/>
      <c r="V311" t="s">
        <v>374</v>
      </c>
      <c r="X311" s="5" t="s">
        <v>219</v>
      </c>
      <c r="Y311" s="10" t="s">
        <v>69</v>
      </c>
      <c r="Z311" s="5" t="s">
        <v>541</v>
      </c>
      <c r="AA311" t="e">
        <f>COUNTIF([1]Sheet1!#REF!, "*"&amp; A311&amp;"*")</f>
        <v>#REF!</v>
      </c>
    </row>
    <row r="312" spans="1:27" x14ac:dyDescent="0.2">
      <c r="A312" s="5">
        <v>120007</v>
      </c>
      <c r="B312" s="5" t="s">
        <v>196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>
        <v>10</v>
      </c>
      <c r="N312" s="5">
        <v>17</v>
      </c>
      <c r="O312">
        <v>36</v>
      </c>
      <c r="P312" s="5"/>
      <c r="Q312" s="5">
        <f t="shared" si="15"/>
        <v>609</v>
      </c>
      <c r="R312" s="5">
        <v>0</v>
      </c>
      <c r="S312" s="5">
        <v>3</v>
      </c>
      <c r="T312" s="5" t="s">
        <v>290</v>
      </c>
      <c r="U312" s="5"/>
      <c r="V312" t="s">
        <v>319</v>
      </c>
      <c r="X312" s="5" t="s">
        <v>186</v>
      </c>
      <c r="Y312" s="10" t="s">
        <v>332</v>
      </c>
      <c r="Z312" s="5" t="s">
        <v>542</v>
      </c>
      <c r="AA312" t="e">
        <f>COUNTIF([1]Sheet1!#REF!, "*"&amp; A312&amp;"*")</f>
        <v>#REF!</v>
      </c>
    </row>
    <row r="313" spans="1:27" x14ac:dyDescent="0.2">
      <c r="A313" s="5">
        <v>120008</v>
      </c>
      <c r="B313" s="5" t="s">
        <v>216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>
        <v>10</v>
      </c>
      <c r="N313" s="5">
        <v>17</v>
      </c>
      <c r="O313" s="5"/>
      <c r="P313" s="5"/>
      <c r="Q313" s="5">
        <f t="shared" si="15"/>
        <v>631</v>
      </c>
      <c r="R313" s="5">
        <v>0</v>
      </c>
      <c r="S313" s="5">
        <v>1</v>
      </c>
      <c r="T313" s="5" t="s">
        <v>285</v>
      </c>
      <c r="U313" s="5"/>
      <c r="V313" t="s">
        <v>365</v>
      </c>
      <c r="X313" s="5" t="s">
        <v>305</v>
      </c>
      <c r="Y313" s="10" t="s">
        <v>69</v>
      </c>
      <c r="Z313" s="5" t="s">
        <v>543</v>
      </c>
      <c r="AA313" t="e">
        <f>COUNTIF([1]Sheet1!#REF!, "*"&amp; A313&amp;"*")</f>
        <v>#REF!</v>
      </c>
    </row>
    <row r="314" spans="1:27" x14ac:dyDescent="0.2">
      <c r="A314" s="5">
        <v>120009</v>
      </c>
      <c r="B314" s="5" t="s">
        <v>244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>
        <v>10</v>
      </c>
      <c r="N314" s="5">
        <v>17</v>
      </c>
      <c r="O314">
        <v>30</v>
      </c>
      <c r="P314" s="5"/>
      <c r="Q314" s="5">
        <f t="shared" si="15"/>
        <v>253</v>
      </c>
      <c r="R314" s="5">
        <v>0</v>
      </c>
      <c r="S314" s="5">
        <v>3</v>
      </c>
      <c r="T314" s="5" t="s">
        <v>291</v>
      </c>
      <c r="U314" s="5"/>
      <c r="V314" t="s">
        <v>380</v>
      </c>
      <c r="X314" s="5" t="s">
        <v>186</v>
      </c>
      <c r="Y314" s="10" t="s">
        <v>330</v>
      </c>
      <c r="Z314" s="5" t="s">
        <v>544</v>
      </c>
      <c r="AA314" t="e">
        <f>COUNTIF([1]Sheet1!#REF!, "*"&amp; A314&amp;"*")</f>
        <v>#REF!</v>
      </c>
    </row>
    <row r="315" spans="1:27" x14ac:dyDescent="0.2">
      <c r="A315" s="5">
        <v>199001</v>
      </c>
      <c r="B315" s="5" t="s">
        <v>98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>
        <v>10</v>
      </c>
      <c r="N315" s="5">
        <v>17</v>
      </c>
      <c r="O315" s="5"/>
      <c r="P315" s="5"/>
      <c r="Q315" s="5">
        <f t="shared" si="15"/>
        <v>1937</v>
      </c>
      <c r="R315" s="5">
        <v>0</v>
      </c>
      <c r="S315" s="5">
        <v>1</v>
      </c>
      <c r="T315" s="5" t="s">
        <v>284</v>
      </c>
      <c r="U315" s="5"/>
      <c r="V315" s="5" t="s">
        <v>268</v>
      </c>
      <c r="W315" s="5"/>
      <c r="X315" s="5" t="s">
        <v>184</v>
      </c>
      <c r="Y315" s="10" t="s">
        <v>69</v>
      </c>
      <c r="Z315" s="5" t="s">
        <v>489</v>
      </c>
      <c r="AA315" t="e">
        <f>COUNTIF([1]Sheet1!#REF!, "*"&amp; A315&amp;"*")</f>
        <v>#REF!</v>
      </c>
    </row>
    <row r="316" spans="1:27" x14ac:dyDescent="0.2">
      <c r="A316" s="5">
        <v>199002</v>
      </c>
      <c r="B316" s="5" t="s">
        <v>21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>
        <v>10</v>
      </c>
      <c r="N316" s="5">
        <v>17</v>
      </c>
      <c r="O316">
        <v>36</v>
      </c>
      <c r="P316" s="5"/>
      <c r="Q316" s="5">
        <f t="shared" si="15"/>
        <v>2006</v>
      </c>
      <c r="R316" s="5">
        <v>0</v>
      </c>
      <c r="S316" s="5">
        <v>3</v>
      </c>
      <c r="T316" s="5" t="s">
        <v>289</v>
      </c>
      <c r="U316" s="5"/>
      <c r="V316" s="5" t="s">
        <v>253</v>
      </c>
      <c r="W316" s="5" t="s">
        <v>387</v>
      </c>
      <c r="X316" s="5" t="s">
        <v>186</v>
      </c>
      <c r="Y316" s="10" t="s">
        <v>333</v>
      </c>
      <c r="Z316" s="5" t="s">
        <v>409</v>
      </c>
      <c r="AA316" t="e">
        <f>COUNTIF([1]Sheet1!#REF!, "*"&amp; A316&amp;"*")</f>
        <v>#REF!</v>
      </c>
    </row>
    <row r="317" spans="1:27" x14ac:dyDescent="0.2">
      <c r="A317" s="5">
        <v>199003</v>
      </c>
      <c r="B317" s="5" t="s">
        <v>54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>
        <v>10</v>
      </c>
      <c r="N317" s="5">
        <v>17</v>
      </c>
      <c r="O317" s="5"/>
      <c r="P317" s="5"/>
      <c r="Q317" s="5">
        <f t="shared" si="15"/>
        <v>1463</v>
      </c>
      <c r="R317" s="5">
        <v>0</v>
      </c>
      <c r="S317" s="5">
        <v>1</v>
      </c>
      <c r="T317" s="5" t="s">
        <v>284</v>
      </c>
      <c r="U317" s="5"/>
      <c r="V317" s="5" t="s">
        <v>304</v>
      </c>
      <c r="W317" s="5"/>
      <c r="X317" s="5" t="s">
        <v>188</v>
      </c>
      <c r="Y317" s="10" t="s">
        <v>69</v>
      </c>
      <c r="Z317" s="5" t="s">
        <v>415</v>
      </c>
      <c r="AA317" t="e">
        <f>COUNTIF([1]Sheet1!#REF!, "*"&amp; A317&amp;"*")</f>
        <v>#REF!</v>
      </c>
    </row>
    <row r="318" spans="1:27" x14ac:dyDescent="0.2">
      <c r="A318" s="5">
        <v>199004</v>
      </c>
      <c r="B318" s="5" t="s">
        <v>50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>
        <v>10</v>
      </c>
      <c r="N318" s="5">
        <v>17</v>
      </c>
      <c r="O318" s="5"/>
      <c r="P318" s="5"/>
      <c r="Q318" s="5">
        <f t="shared" si="15"/>
        <v>493</v>
      </c>
      <c r="R318" s="5">
        <v>0</v>
      </c>
      <c r="S318" s="5">
        <v>1</v>
      </c>
      <c r="T318" s="5" t="s">
        <v>296</v>
      </c>
      <c r="U318" s="5"/>
      <c r="V318" s="5" t="s">
        <v>325</v>
      </c>
      <c r="X318" s="5" t="s">
        <v>189</v>
      </c>
      <c r="Y318" s="10" t="s">
        <v>69</v>
      </c>
      <c r="Z318" s="5" t="s">
        <v>417</v>
      </c>
      <c r="AA318" t="e">
        <f>COUNTIF([1]Sheet1!#REF!, "*"&amp; A318&amp;"*")</f>
        <v>#REF!</v>
      </c>
    </row>
    <row r="319" spans="1:27" x14ac:dyDescent="0.2">
      <c r="A319" s="5">
        <v>199006</v>
      </c>
      <c r="B319" s="5" t="s">
        <v>56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>
        <v>10</v>
      </c>
      <c r="N319" s="5">
        <v>17</v>
      </c>
      <c r="O319">
        <v>30</v>
      </c>
      <c r="P319" s="5"/>
      <c r="Q319" s="5">
        <f t="shared" si="15"/>
        <v>792</v>
      </c>
      <c r="R319" s="5">
        <v>0</v>
      </c>
      <c r="S319" s="5">
        <v>3</v>
      </c>
      <c r="T319" s="5" t="s">
        <v>289</v>
      </c>
      <c r="U319" s="5"/>
      <c r="V319" s="5" t="s">
        <v>259</v>
      </c>
      <c r="W319" s="5" t="s">
        <v>367</v>
      </c>
      <c r="X319" s="5" t="s">
        <v>186</v>
      </c>
      <c r="Y319" s="10" t="s">
        <v>161</v>
      </c>
      <c r="Z319" s="5" t="s">
        <v>422</v>
      </c>
      <c r="AA319" t="e">
        <f>COUNTIF([1]Sheet1!#REF!, "*"&amp; A319&amp;"*")</f>
        <v>#REF!</v>
      </c>
    </row>
    <row r="320" spans="1:27" x14ac:dyDescent="0.2">
      <c r="A320" s="5">
        <v>199007</v>
      </c>
      <c r="B320" s="5" t="s">
        <v>58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>
        <v>10</v>
      </c>
      <c r="N320" s="5">
        <v>17</v>
      </c>
      <c r="O320" s="5"/>
      <c r="P320" s="5"/>
      <c r="Q320" s="5">
        <f t="shared" si="15"/>
        <v>277</v>
      </c>
      <c r="R320" s="5">
        <v>0</v>
      </c>
      <c r="S320" s="5">
        <v>1</v>
      </c>
      <c r="T320" s="5" t="s">
        <v>286</v>
      </c>
      <c r="U320" s="5"/>
      <c r="V320" s="5" t="s">
        <v>384</v>
      </c>
      <c r="X320" s="5" t="s">
        <v>184</v>
      </c>
      <c r="Y320" s="10" t="s">
        <v>69</v>
      </c>
      <c r="Z320" s="5" t="s">
        <v>424</v>
      </c>
      <c r="AA320" t="e">
        <f>COUNTIF([1]Sheet1!#REF!, "*"&amp; A320&amp;"*")</f>
        <v>#REF!</v>
      </c>
    </row>
    <row r="321" spans="1:27" x14ac:dyDescent="0.2">
      <c r="A321" s="5">
        <v>199008</v>
      </c>
      <c r="B321" s="5" t="s">
        <v>72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>
        <v>10</v>
      </c>
      <c r="N321" s="5">
        <v>17</v>
      </c>
      <c r="O321">
        <v>50</v>
      </c>
      <c r="P321" s="5">
        <v>5</v>
      </c>
      <c r="Q321" s="5">
        <f t="shared" si="15"/>
        <v>286</v>
      </c>
      <c r="R321" s="5">
        <v>0</v>
      </c>
      <c r="S321" s="5">
        <v>3</v>
      </c>
      <c r="T321" s="5" t="s">
        <v>288</v>
      </c>
      <c r="U321" s="5"/>
      <c r="V321" s="5"/>
      <c r="X321" s="5" t="s">
        <v>185</v>
      </c>
      <c r="Y321" s="10" t="s">
        <v>338</v>
      </c>
      <c r="Z321" s="5" t="s">
        <v>426</v>
      </c>
      <c r="AA321" t="e">
        <f>COUNTIF([1]Sheet1!#REF!, "*"&amp; A321&amp;"*")</f>
        <v>#REF!</v>
      </c>
    </row>
    <row r="322" spans="1:27" x14ac:dyDescent="0.2">
      <c r="A322" s="5">
        <v>199009</v>
      </c>
      <c r="B322" s="5" t="s">
        <v>97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>
        <v>10</v>
      </c>
      <c r="N322" s="5">
        <v>17</v>
      </c>
      <c r="O322">
        <v>26</v>
      </c>
      <c r="P322" s="5">
        <v>6</v>
      </c>
      <c r="Q322" s="5">
        <f t="shared" si="15"/>
        <v>341</v>
      </c>
      <c r="R322" s="5">
        <v>0</v>
      </c>
      <c r="S322" s="5">
        <v>3</v>
      </c>
      <c r="T322" s="5" t="s">
        <v>287</v>
      </c>
      <c r="U322" s="5"/>
      <c r="V322" s="5"/>
      <c r="W322" s="5"/>
      <c r="X322" s="5" t="s">
        <v>185</v>
      </c>
      <c r="Y322" s="10" t="s">
        <v>368</v>
      </c>
      <c r="Z322" s="5" t="s">
        <v>437</v>
      </c>
      <c r="AA322" t="e">
        <f>COUNTIF([1]Sheet1!#REF!, "*"&amp; A322&amp;"*")</f>
        <v>#REF!</v>
      </c>
    </row>
    <row r="323" spans="1:27" x14ac:dyDescent="0.2">
      <c r="A323" s="5">
        <v>199010</v>
      </c>
      <c r="B323" s="5" t="s">
        <v>108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>
        <v>10</v>
      </c>
      <c r="N323" s="5">
        <v>17</v>
      </c>
      <c r="O323">
        <v>58</v>
      </c>
      <c r="P323" s="5"/>
      <c r="Q323" s="5">
        <f t="shared" si="15"/>
        <v>25</v>
      </c>
      <c r="R323" s="5">
        <v>0</v>
      </c>
      <c r="S323" s="5">
        <v>3</v>
      </c>
      <c r="T323" s="5" t="s">
        <v>297</v>
      </c>
      <c r="U323" s="5"/>
      <c r="V323" s="5" t="s">
        <v>360</v>
      </c>
      <c r="X323" s="5" t="s">
        <v>307</v>
      </c>
      <c r="Y323" s="10" t="s">
        <v>331</v>
      </c>
      <c r="Z323" s="5" t="s">
        <v>439</v>
      </c>
      <c r="AA323" t="e">
        <f>COUNTIF([1]Sheet1!#REF!, "*"&amp; A323&amp;"*")</f>
        <v>#REF!</v>
      </c>
    </row>
    <row r="324" spans="1:27" x14ac:dyDescent="0.2">
      <c r="A324" s="5">
        <v>199011</v>
      </c>
      <c r="B324" s="5" t="s">
        <v>252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>
        <v>10</v>
      </c>
      <c r="N324" s="5">
        <v>17</v>
      </c>
      <c r="O324">
        <v>30</v>
      </c>
      <c r="P324" s="5"/>
      <c r="Q324" s="5">
        <f t="shared" si="15"/>
        <v>147</v>
      </c>
      <c r="R324" s="5">
        <v>0</v>
      </c>
      <c r="S324" s="5">
        <v>3</v>
      </c>
      <c r="T324" s="5" t="s">
        <v>291</v>
      </c>
      <c r="U324" s="5"/>
      <c r="V324" s="5" t="s">
        <v>389</v>
      </c>
      <c r="W324" s="5"/>
      <c r="X324" s="5" t="s">
        <v>186</v>
      </c>
      <c r="Y324" s="10" t="s">
        <v>330</v>
      </c>
      <c r="Z324" s="5" t="s">
        <v>445</v>
      </c>
      <c r="AA324" t="e">
        <f>COUNTIF([1]Sheet1!#REF!, "*"&amp; A324&amp;"*")</f>
        <v>#REF!</v>
      </c>
    </row>
    <row r="325" spans="1:27" x14ac:dyDescent="0.2">
      <c r="A325" s="5">
        <v>199012</v>
      </c>
      <c r="B325" s="5" t="s">
        <v>52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88" si="16">SUM(E325:I325)</f>
        <v>439</v>
      </c>
      <c r="K325" s="5">
        <v>99</v>
      </c>
      <c r="L325" s="5"/>
      <c r="M325" s="5">
        <v>10</v>
      </c>
      <c r="N325" s="5">
        <v>17</v>
      </c>
      <c r="O325">
        <v>30</v>
      </c>
      <c r="P325" s="5"/>
      <c r="Q325" s="5">
        <f t="shared" si="15"/>
        <v>2190</v>
      </c>
      <c r="R325" s="5">
        <v>0</v>
      </c>
      <c r="S325" s="5">
        <v>3</v>
      </c>
      <c r="T325" s="5" t="s">
        <v>289</v>
      </c>
      <c r="U325" s="5"/>
      <c r="V325" s="5" t="s">
        <v>273</v>
      </c>
      <c r="W325" s="5"/>
      <c r="X325" s="5" t="s">
        <v>186</v>
      </c>
      <c r="Y325" s="10" t="s">
        <v>162</v>
      </c>
      <c r="Z325" s="5" t="s">
        <v>463</v>
      </c>
      <c r="AA325" t="e">
        <f>COUNTIF([1]Sheet1!#REF!, "*"&amp; A325&amp;"*")</f>
        <v>#REF!</v>
      </c>
    </row>
    <row r="326" spans="1:27" x14ac:dyDescent="0.2">
      <c r="A326" s="5">
        <v>199013</v>
      </c>
      <c r="B326" s="5" t="s">
        <v>74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>
        <v>10</v>
      </c>
      <c r="N326" s="5">
        <v>17</v>
      </c>
      <c r="O326" s="5"/>
      <c r="P326" s="5"/>
      <c r="Q326" s="5">
        <f t="shared" si="15"/>
        <v>452</v>
      </c>
      <c r="R326" s="5">
        <v>0</v>
      </c>
      <c r="S326" s="5">
        <v>1</v>
      </c>
      <c r="T326" s="5" t="s">
        <v>285</v>
      </c>
      <c r="U326" s="5"/>
      <c r="V326" s="5" t="s">
        <v>298</v>
      </c>
      <c r="W326" s="5"/>
      <c r="X326" s="5" t="s">
        <v>306</v>
      </c>
      <c r="Y326" s="10" t="s">
        <v>69</v>
      </c>
      <c r="Z326" s="5" t="s">
        <v>464</v>
      </c>
      <c r="AA326" t="e">
        <f>COUNTIF([1]Sheet1!#REF!, "*"&amp; A326&amp;"*")</f>
        <v>#REF!</v>
      </c>
    </row>
    <row r="327" spans="1:27" x14ac:dyDescent="0.2">
      <c r="A327" s="5">
        <v>199014</v>
      </c>
      <c r="B327" s="5" t="s">
        <v>76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>
        <v>10</v>
      </c>
      <c r="N327" s="5">
        <v>17</v>
      </c>
      <c r="O327" s="5"/>
      <c r="P327" s="5"/>
      <c r="Q327" s="5">
        <f t="shared" si="15"/>
        <v>50</v>
      </c>
      <c r="R327" s="5">
        <v>0</v>
      </c>
      <c r="S327" s="5">
        <v>1</v>
      </c>
      <c r="T327" s="5" t="s">
        <v>286</v>
      </c>
      <c r="U327" s="5"/>
      <c r="V327" s="5" t="s">
        <v>323</v>
      </c>
      <c r="W327" s="5"/>
      <c r="X327" s="5" t="s">
        <v>187</v>
      </c>
      <c r="Y327" s="10" t="s">
        <v>69</v>
      </c>
      <c r="Z327" s="5" t="s">
        <v>466</v>
      </c>
      <c r="AA327" t="e">
        <f>COUNTIF([1]Sheet1!#REF!, "*"&amp; A327&amp;"*")</f>
        <v>#REF!</v>
      </c>
    </row>
    <row r="328" spans="1:27" x14ac:dyDescent="0.2">
      <c r="A328" s="5">
        <v>199015</v>
      </c>
      <c r="B328" s="5" t="s">
        <v>230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>
        <v>10</v>
      </c>
      <c r="N328" s="5">
        <v>17</v>
      </c>
      <c r="O328">
        <v>40</v>
      </c>
      <c r="P328" s="5">
        <v>5</v>
      </c>
      <c r="Q328" s="5">
        <f t="shared" si="15"/>
        <v>588</v>
      </c>
      <c r="R328" s="5">
        <v>0</v>
      </c>
      <c r="S328" s="5">
        <v>3</v>
      </c>
      <c r="T328" s="5" t="s">
        <v>292</v>
      </c>
      <c r="U328" s="5"/>
      <c r="V328" t="s">
        <v>342</v>
      </c>
      <c r="X328" s="5" t="s">
        <v>185</v>
      </c>
      <c r="Y328" s="10" t="s">
        <v>164</v>
      </c>
      <c r="Z328" s="5" t="s">
        <v>470</v>
      </c>
      <c r="AA328" t="e">
        <f>COUNTIF([1]Sheet1!#REF!, "*"&amp; A328&amp;"*")</f>
        <v>#REF!</v>
      </c>
    </row>
    <row r="329" spans="1:27" x14ac:dyDescent="0.2">
      <c r="A329" s="5">
        <v>199017</v>
      </c>
      <c r="B329" s="5" t="s">
        <v>199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>
        <v>10</v>
      </c>
      <c r="N329" s="5">
        <v>17</v>
      </c>
      <c r="O329" s="5"/>
      <c r="P329" s="5"/>
      <c r="Q329" s="5">
        <f t="shared" si="15"/>
        <v>224</v>
      </c>
      <c r="R329" s="5">
        <v>0</v>
      </c>
      <c r="S329" s="5">
        <v>1</v>
      </c>
      <c r="T329" s="5" t="s">
        <v>295</v>
      </c>
      <c r="U329" s="5"/>
      <c r="V329" t="s">
        <v>321</v>
      </c>
      <c r="W329" s="5"/>
      <c r="X329" s="5" t="s">
        <v>305</v>
      </c>
      <c r="Y329" s="10" t="s">
        <v>69</v>
      </c>
      <c r="Z329" s="5" t="s">
        <v>479</v>
      </c>
      <c r="AA329" t="e">
        <f>COUNTIF([1]Sheet1!#REF!, "*"&amp; A329&amp;"*")</f>
        <v>#REF!</v>
      </c>
    </row>
    <row r="330" spans="1:27" x14ac:dyDescent="0.2">
      <c r="A330" s="5">
        <v>199021</v>
      </c>
      <c r="B330" s="5" t="s">
        <v>99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>
        <v>10</v>
      </c>
      <c r="N330" s="5">
        <v>17</v>
      </c>
      <c r="O330" s="5"/>
      <c r="P330" s="5"/>
      <c r="Q330" s="5">
        <f t="shared" si="15"/>
        <v>1870</v>
      </c>
      <c r="R330" s="5">
        <v>0</v>
      </c>
      <c r="S330" s="5">
        <v>1</v>
      </c>
      <c r="T330" s="5" t="s">
        <v>286</v>
      </c>
      <c r="U330" s="5"/>
      <c r="V330" s="5" t="s">
        <v>343</v>
      </c>
      <c r="W330" s="5"/>
      <c r="X330" s="5" t="s">
        <v>184</v>
      </c>
      <c r="Y330" s="10" t="s">
        <v>69</v>
      </c>
      <c r="Z330" s="5" t="s">
        <v>488</v>
      </c>
      <c r="AA330" t="e">
        <f>COUNTIF([1]Sheet1!#REF!, "*"&amp; A330&amp;"*")</f>
        <v>#REF!</v>
      </c>
    </row>
    <row r="331" spans="1:27" x14ac:dyDescent="0.2">
      <c r="A331" s="5">
        <v>199022</v>
      </c>
      <c r="B331" s="5" t="s">
        <v>132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>
        <v>10</v>
      </c>
      <c r="N331" s="5">
        <v>17</v>
      </c>
      <c r="O331">
        <v>30</v>
      </c>
      <c r="P331" s="5"/>
      <c r="Q331" s="5">
        <f t="shared" si="15"/>
        <v>429</v>
      </c>
      <c r="R331" s="5">
        <v>0</v>
      </c>
      <c r="S331" s="5">
        <v>3</v>
      </c>
      <c r="T331" s="5" t="s">
        <v>289</v>
      </c>
      <c r="U331" s="5"/>
      <c r="V331" s="5" t="s">
        <v>380</v>
      </c>
      <c r="W331" s="5"/>
      <c r="X331" s="5" t="s">
        <v>186</v>
      </c>
      <c r="Y331" s="10" t="s">
        <v>68</v>
      </c>
      <c r="Z331" s="5" t="s">
        <v>518</v>
      </c>
      <c r="AA331" t="e">
        <f>COUNTIF([1]Sheet1!#REF!, "*"&amp; A331&amp;"*")</f>
        <v>#REF!</v>
      </c>
    </row>
    <row r="332" spans="1:27" x14ac:dyDescent="0.2">
      <c r="A332" s="5">
        <v>199023</v>
      </c>
      <c r="B332" s="5" t="s">
        <v>116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>
        <v>10</v>
      </c>
      <c r="N332" s="5">
        <v>17</v>
      </c>
      <c r="O332">
        <v>28</v>
      </c>
      <c r="P332" s="5"/>
      <c r="Q332" s="5">
        <f t="shared" si="15"/>
        <v>302</v>
      </c>
      <c r="R332" s="5">
        <v>0</v>
      </c>
      <c r="S332" s="5">
        <v>3</v>
      </c>
      <c r="T332" s="5" t="s">
        <v>294</v>
      </c>
      <c r="U332" s="5"/>
      <c r="V332" s="5" t="s">
        <v>363</v>
      </c>
      <c r="W332" s="5"/>
      <c r="X332" s="5" t="s">
        <v>192</v>
      </c>
      <c r="Y332" s="10" t="s">
        <v>329</v>
      </c>
      <c r="Z332" s="5" t="s">
        <v>555</v>
      </c>
      <c r="AA332" t="e">
        <f>COUNTIF([1]Sheet1!#REF!, "*"&amp; A332&amp;"*")</f>
        <v>#REF!</v>
      </c>
    </row>
    <row r="333" spans="1:27" x14ac:dyDescent="0.2">
      <c r="A333" s="5">
        <v>199024</v>
      </c>
      <c r="B333" s="5" t="s">
        <v>146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>
        <v>10</v>
      </c>
      <c r="N333" s="5">
        <v>17</v>
      </c>
      <c r="O333">
        <v>28</v>
      </c>
      <c r="P333" s="5"/>
      <c r="Q333" s="5">
        <f t="shared" si="15"/>
        <v>178</v>
      </c>
      <c r="R333" s="5">
        <v>0</v>
      </c>
      <c r="S333" s="5">
        <v>3</v>
      </c>
      <c r="T333" s="5" t="s">
        <v>294</v>
      </c>
      <c r="U333" s="5"/>
      <c r="V333" s="5" t="s">
        <v>358</v>
      </c>
      <c r="W333" s="5"/>
      <c r="X333" s="5" t="s">
        <v>192</v>
      </c>
      <c r="Y333" s="10" t="s">
        <v>329</v>
      </c>
      <c r="Z333" s="5" t="s">
        <v>558</v>
      </c>
      <c r="AA333" t="e">
        <f>COUNTIF([1]Sheet1!#REF!, "*"&amp; A333&amp;"*")</f>
        <v>#REF!</v>
      </c>
    </row>
    <row r="334" spans="1:27" x14ac:dyDescent="0.2">
      <c r="A334" s="5">
        <v>199025</v>
      </c>
      <c r="B334" s="5" t="s">
        <v>204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>
        <v>10</v>
      </c>
      <c r="N334" s="5">
        <v>17</v>
      </c>
      <c r="O334">
        <v>30</v>
      </c>
      <c r="P334" s="5"/>
      <c r="Q334" s="5">
        <f t="shared" si="15"/>
        <v>677</v>
      </c>
      <c r="R334" s="5">
        <v>0</v>
      </c>
      <c r="S334" s="5">
        <v>3</v>
      </c>
      <c r="T334" s="5" t="s">
        <v>289</v>
      </c>
      <c r="U334" s="5"/>
      <c r="V334" s="5" t="s">
        <v>270</v>
      </c>
      <c r="W334" t="s">
        <v>395</v>
      </c>
      <c r="X334" s="5" t="s">
        <v>186</v>
      </c>
      <c r="Y334" s="10" t="s">
        <v>159</v>
      </c>
      <c r="Z334" s="5" t="s">
        <v>559</v>
      </c>
      <c r="AA334" t="e">
        <f>COUNTIF([1]Sheet1!#REF!, "*"&amp; A334&amp;"*")</f>
        <v>#REF!</v>
      </c>
    </row>
    <row r="335" spans="1:27" x14ac:dyDescent="0.2">
      <c r="A335" s="5">
        <v>199026</v>
      </c>
      <c r="B335" s="5" t="s">
        <v>205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>
        <v>10</v>
      </c>
      <c r="N335" s="5">
        <v>17</v>
      </c>
      <c r="O335" s="5"/>
      <c r="P335" s="5"/>
      <c r="Q335" s="5">
        <f t="shared" si="15"/>
        <v>896</v>
      </c>
      <c r="R335" s="5">
        <v>0</v>
      </c>
      <c r="S335" s="5">
        <v>1</v>
      </c>
      <c r="T335" s="5" t="s">
        <v>286</v>
      </c>
      <c r="U335" s="5"/>
      <c r="V335" s="5" t="s">
        <v>321</v>
      </c>
      <c r="W335" s="5"/>
      <c r="X335" s="5" t="s">
        <v>218</v>
      </c>
      <c r="Y335" s="10" t="s">
        <v>69</v>
      </c>
      <c r="Z335" s="5" t="s">
        <v>560</v>
      </c>
      <c r="AA335" t="e">
        <f>COUNTIF([1]Sheet1!#REF!, "*"&amp; A335&amp;"*")</f>
        <v>#REF!</v>
      </c>
    </row>
    <row r="336" spans="1:27" x14ac:dyDescent="0.2">
      <c r="A336" s="5">
        <v>199027</v>
      </c>
      <c r="B336" s="5" t="s">
        <v>206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>
        <v>10</v>
      </c>
      <c r="N336" s="5">
        <v>17</v>
      </c>
      <c r="O336">
        <v>26</v>
      </c>
      <c r="P336" s="5">
        <v>8</v>
      </c>
      <c r="Q336" s="5">
        <f t="shared" si="15"/>
        <v>739</v>
      </c>
      <c r="R336" s="5">
        <v>0</v>
      </c>
      <c r="S336" s="5">
        <v>3</v>
      </c>
      <c r="T336" s="5" t="s">
        <v>345</v>
      </c>
      <c r="U336" s="5"/>
      <c r="V336" s="5"/>
      <c r="W336" s="5"/>
      <c r="X336" s="5" t="s">
        <v>217</v>
      </c>
      <c r="Y336" s="10" t="s">
        <v>69</v>
      </c>
      <c r="Z336" s="5" t="s">
        <v>561</v>
      </c>
      <c r="AA336" t="e">
        <f>COUNTIF([1]Sheet1!#REF!, "*"&amp; A336&amp;"*")</f>
        <v>#REF!</v>
      </c>
    </row>
    <row r="337" spans="1:27" x14ac:dyDescent="0.2">
      <c r="A337" s="5">
        <v>199029</v>
      </c>
      <c r="B337" s="5" t="s">
        <v>245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>
        <v>10</v>
      </c>
      <c r="N337" s="5">
        <v>17</v>
      </c>
      <c r="O337" s="5"/>
      <c r="P337" s="5"/>
      <c r="Q337" s="5">
        <f t="shared" si="15"/>
        <v>539</v>
      </c>
      <c r="R337" s="5">
        <v>0</v>
      </c>
      <c r="S337" s="5">
        <v>1</v>
      </c>
      <c r="T337" s="5" t="s">
        <v>286</v>
      </c>
      <c r="U337" s="5"/>
      <c r="V337" s="5"/>
      <c r="W337" s="5"/>
      <c r="X337" s="5" t="s">
        <v>317</v>
      </c>
      <c r="Y337" s="10" t="s">
        <v>69</v>
      </c>
      <c r="Z337" s="5" t="s">
        <v>563</v>
      </c>
      <c r="AA337" t="e">
        <f>COUNTIF([1]Sheet1!#REF!, "*"&amp; A337&amp;"*")</f>
        <v>#REF!</v>
      </c>
    </row>
    <row r="338" spans="1:27" x14ac:dyDescent="0.2">
      <c r="A338" s="5">
        <v>199030</v>
      </c>
      <c r="B338" s="5" t="s">
        <v>247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>
        <v>10</v>
      </c>
      <c r="N338" s="5">
        <v>17</v>
      </c>
      <c r="O338">
        <v>30</v>
      </c>
      <c r="P338" s="5"/>
      <c r="Q338" s="5">
        <f t="shared" si="15"/>
        <v>220</v>
      </c>
      <c r="R338" s="5">
        <v>0</v>
      </c>
      <c r="S338" s="5">
        <v>3</v>
      </c>
      <c r="T338" s="5" t="s">
        <v>293</v>
      </c>
      <c r="U338" s="5"/>
      <c r="V338" s="5" t="s">
        <v>359</v>
      </c>
      <c r="W338" s="5"/>
      <c r="X338" s="5" t="s">
        <v>318</v>
      </c>
      <c r="Y338" s="10" t="s">
        <v>68</v>
      </c>
      <c r="Z338" s="5" t="s">
        <v>564</v>
      </c>
      <c r="AA338" t="e">
        <f>COUNTIF([1]Sheet1!#REF!, "*"&amp; A338&amp;"*")</f>
        <v>#REF!</v>
      </c>
    </row>
    <row r="339" spans="1:27" x14ac:dyDescent="0.2">
      <c r="A339" s="5">
        <v>199031</v>
      </c>
      <c r="B339" s="5" t="s">
        <v>88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>
        <v>99</v>
      </c>
      <c r="N339" s="5">
        <v>17</v>
      </c>
      <c r="O339">
        <v>30</v>
      </c>
      <c r="P339" s="5"/>
      <c r="Q339" s="5">
        <f t="shared" si="15"/>
        <v>599</v>
      </c>
      <c r="R339" s="5">
        <v>0</v>
      </c>
      <c r="S339" s="5">
        <v>3</v>
      </c>
      <c r="T339" s="5" t="s">
        <v>289</v>
      </c>
      <c r="U339" s="5"/>
      <c r="V339" s="5" t="s">
        <v>260</v>
      </c>
      <c r="W339" s="5"/>
      <c r="X339" s="5" t="s">
        <v>186</v>
      </c>
      <c r="Y339" s="10" t="s">
        <v>68</v>
      </c>
      <c r="Z339" s="5" t="s">
        <v>431</v>
      </c>
      <c r="AA339" t="e">
        <f>COUNTIF([1]Sheet1!#REF!, "*"&amp; A339&amp;"*")</f>
        <v>#REF!</v>
      </c>
    </row>
    <row r="340" spans="1:27" x14ac:dyDescent="0.2">
      <c r="A340" s="5">
        <v>199032</v>
      </c>
      <c r="B340" s="5" t="s">
        <v>221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>
        <v>99</v>
      </c>
      <c r="N340" s="5">
        <v>17</v>
      </c>
      <c r="O340">
        <v>36</v>
      </c>
      <c r="P340" s="5"/>
      <c r="Q340" s="5">
        <f t="shared" si="15"/>
        <v>995</v>
      </c>
      <c r="R340" s="5">
        <v>0</v>
      </c>
      <c r="S340" s="5">
        <v>3</v>
      </c>
      <c r="T340" s="5" t="s">
        <v>290</v>
      </c>
      <c r="U340" s="5"/>
      <c r="V340" s="5" t="s">
        <v>355</v>
      </c>
      <c r="W340" s="5"/>
      <c r="X340" s="5" t="s">
        <v>192</v>
      </c>
      <c r="Y340" s="10" t="s">
        <v>332</v>
      </c>
      <c r="Z340" s="5" t="s">
        <v>436</v>
      </c>
      <c r="AA340" t="e">
        <f>COUNTIF([1]Sheet1!#REF!, "*"&amp; A340&amp;"*")</f>
        <v>#REF!</v>
      </c>
    </row>
    <row r="341" spans="1:27" x14ac:dyDescent="0.2">
      <c r="A341" s="5">
        <v>199033</v>
      </c>
      <c r="B341" s="5" t="s">
        <v>223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>
        <v>10</v>
      </c>
      <c r="N341" s="5">
        <v>17</v>
      </c>
      <c r="O341">
        <v>36</v>
      </c>
      <c r="P341" s="5"/>
      <c r="Q341" s="5">
        <f t="shared" si="15"/>
        <v>765</v>
      </c>
      <c r="R341" s="5">
        <v>0</v>
      </c>
      <c r="S341" s="5">
        <v>3</v>
      </c>
      <c r="T341" s="5" t="s">
        <v>290</v>
      </c>
      <c r="U341" s="5"/>
      <c r="V341" s="5"/>
      <c r="W341" s="5"/>
      <c r="X341" s="5" t="s">
        <v>192</v>
      </c>
      <c r="Y341" s="10" t="s">
        <v>332</v>
      </c>
      <c r="Z341" s="5" t="s">
        <v>428</v>
      </c>
      <c r="AA341" t="e">
        <f>COUNTIF([1]Sheet1!#REF!, "*"&amp; A341&amp;"*")</f>
        <v>#REF!</v>
      </c>
    </row>
    <row r="342" spans="1:27" x14ac:dyDescent="0.2">
      <c r="A342" s="5">
        <v>199034</v>
      </c>
      <c r="B342" s="5" t="s">
        <v>224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>
        <v>10</v>
      </c>
      <c r="N342" s="5">
        <v>17</v>
      </c>
      <c r="O342">
        <v>36</v>
      </c>
      <c r="P342" s="5"/>
      <c r="Q342" s="5">
        <f t="shared" si="15"/>
        <v>665</v>
      </c>
      <c r="R342" s="5">
        <v>0</v>
      </c>
      <c r="S342" s="5">
        <v>3</v>
      </c>
      <c r="T342" s="5" t="s">
        <v>290</v>
      </c>
      <c r="U342" s="5"/>
      <c r="V342" s="5" t="s">
        <v>324</v>
      </c>
      <c r="W342" s="5"/>
      <c r="X342" s="5" t="s">
        <v>192</v>
      </c>
      <c r="Y342" s="10" t="s">
        <v>332</v>
      </c>
      <c r="Z342" s="5" t="s">
        <v>430</v>
      </c>
      <c r="AA342" t="e">
        <f>COUNTIF([1]Sheet1!#REF!, "*"&amp; A342&amp;"*")</f>
        <v>#REF!</v>
      </c>
    </row>
    <row r="343" spans="1:27" x14ac:dyDescent="0.2">
      <c r="A343" s="5">
        <v>199035</v>
      </c>
      <c r="B343" s="5" t="s">
        <v>692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>
        <v>10</v>
      </c>
      <c r="N343" s="5">
        <v>17</v>
      </c>
      <c r="O343">
        <v>58</v>
      </c>
      <c r="P343" s="5"/>
      <c r="Q343" s="5">
        <f t="shared" si="15"/>
        <v>444</v>
      </c>
      <c r="R343" s="5">
        <v>0</v>
      </c>
      <c r="S343" s="5">
        <v>3</v>
      </c>
      <c r="T343" s="5" t="s">
        <v>297</v>
      </c>
      <c r="U343" s="5"/>
      <c r="V343" t="s">
        <v>395</v>
      </c>
      <c r="W343" s="5"/>
      <c r="X343" s="5" t="s">
        <v>192</v>
      </c>
      <c r="Y343" s="10" t="s">
        <v>331</v>
      </c>
      <c r="Z343" s="5" t="s">
        <v>435</v>
      </c>
      <c r="AA343" t="e">
        <f>COUNTIF([1]Sheet1!#REF!, "*"&amp; A343&amp;"*")</f>
        <v>#REF!</v>
      </c>
    </row>
    <row r="344" spans="1:27" x14ac:dyDescent="0.2">
      <c r="A344" s="5">
        <v>199036</v>
      </c>
      <c r="B344" s="5" t="s">
        <v>91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>
        <v>10</v>
      </c>
      <c r="N344" s="5">
        <v>17</v>
      </c>
      <c r="O344" s="5"/>
      <c r="P344" s="5"/>
      <c r="Q344" s="5">
        <f t="shared" si="15"/>
        <v>1049</v>
      </c>
      <c r="R344" s="5">
        <v>0</v>
      </c>
      <c r="S344" s="5">
        <v>1</v>
      </c>
      <c r="T344" s="5" t="s">
        <v>286</v>
      </c>
      <c r="U344" s="5"/>
      <c r="V344" s="5" t="s">
        <v>349</v>
      </c>
      <c r="W344" s="5"/>
      <c r="X344" s="5" t="s">
        <v>183</v>
      </c>
      <c r="Y344" s="10" t="s">
        <v>69</v>
      </c>
      <c r="Z344" s="5" t="s">
        <v>434</v>
      </c>
      <c r="AA344" t="e">
        <f>COUNTIF([1]Sheet1!#REF!, "*"&amp; A344&amp;"*")</f>
        <v>#REF!</v>
      </c>
    </row>
    <row r="345" spans="1:27" x14ac:dyDescent="0.2">
      <c r="A345" s="5">
        <v>199037</v>
      </c>
      <c r="B345" s="5" t="s">
        <v>90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>
        <v>10</v>
      </c>
      <c r="N345" s="5">
        <v>17</v>
      </c>
      <c r="O345" s="5"/>
      <c r="P345" s="5"/>
      <c r="Q345" s="5">
        <f t="shared" si="15"/>
        <v>421</v>
      </c>
      <c r="R345" s="5">
        <v>0</v>
      </c>
      <c r="S345" s="5">
        <v>1</v>
      </c>
      <c r="T345" s="5" t="s">
        <v>285</v>
      </c>
      <c r="U345" s="5"/>
      <c r="V345" s="5" t="s">
        <v>261</v>
      </c>
      <c r="W345" s="5" t="s">
        <v>392</v>
      </c>
      <c r="X345" s="5" t="s">
        <v>183</v>
      </c>
      <c r="Y345" s="10" t="s">
        <v>69</v>
      </c>
      <c r="Z345" s="5" t="s">
        <v>433</v>
      </c>
      <c r="AA345" t="e">
        <f>COUNTIF([1]Sheet1!#REF!, "*"&amp; A345&amp;"*")</f>
        <v>#REF!</v>
      </c>
    </row>
    <row r="346" spans="1:27" x14ac:dyDescent="0.2">
      <c r="A346" s="5">
        <v>199038</v>
      </c>
      <c r="B346" s="5" t="s">
        <v>131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>
        <v>10</v>
      </c>
      <c r="N346" s="5">
        <v>17</v>
      </c>
      <c r="O346">
        <v>50</v>
      </c>
      <c r="P346" s="5">
        <v>5</v>
      </c>
      <c r="Q346" s="5">
        <f t="shared" si="15"/>
        <v>1438</v>
      </c>
      <c r="R346" s="5">
        <v>0</v>
      </c>
      <c r="S346" s="5">
        <v>3</v>
      </c>
      <c r="T346" s="5" t="s">
        <v>288</v>
      </c>
      <c r="U346" s="5"/>
      <c r="V346" s="5" t="s">
        <v>323</v>
      </c>
      <c r="W346" s="5"/>
      <c r="X346" s="5" t="s">
        <v>185</v>
      </c>
      <c r="Y346" s="10" t="s">
        <v>164</v>
      </c>
      <c r="Z346" s="5" t="s">
        <v>517</v>
      </c>
      <c r="AA346" t="e">
        <f>COUNTIF([1]Sheet1!#REF!, "*"&amp; A346&amp;"*")</f>
        <v>#REF!</v>
      </c>
    </row>
    <row r="347" spans="1:27" x14ac:dyDescent="0.2">
      <c r="A347" s="5">
        <v>199039</v>
      </c>
      <c r="B347" s="5" t="s">
        <v>138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>
        <v>10</v>
      </c>
      <c r="N347" s="5">
        <v>17</v>
      </c>
      <c r="O347">
        <v>50</v>
      </c>
      <c r="P347" s="5">
        <v>5</v>
      </c>
      <c r="Q347" s="5">
        <f t="shared" si="15"/>
        <v>202</v>
      </c>
      <c r="R347" s="5">
        <v>0</v>
      </c>
      <c r="S347" s="5">
        <v>3</v>
      </c>
      <c r="T347" s="5" t="s">
        <v>288</v>
      </c>
      <c r="U347" s="5"/>
      <c r="V347" s="5"/>
      <c r="W347" s="5"/>
      <c r="X347" s="5" t="s">
        <v>185</v>
      </c>
      <c r="Y347" s="10" t="s">
        <v>338</v>
      </c>
      <c r="Z347" s="5" t="s">
        <v>443</v>
      </c>
      <c r="AA347" t="e">
        <f>COUNTIF([1]Sheet1!#REF!, "*"&amp; A347&amp;"*")</f>
        <v>#REF!</v>
      </c>
    </row>
    <row r="348" spans="1:27" x14ac:dyDescent="0.2">
      <c r="A348" s="5">
        <v>199040</v>
      </c>
      <c r="B348" s="5" t="s">
        <v>144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>
        <v>10</v>
      </c>
      <c r="N348" s="5">
        <v>17</v>
      </c>
      <c r="O348" s="5"/>
      <c r="P348" s="5"/>
      <c r="Q348" s="5">
        <f t="shared" si="15"/>
        <v>806</v>
      </c>
      <c r="R348" s="5">
        <v>0</v>
      </c>
      <c r="S348" s="5">
        <v>1</v>
      </c>
      <c r="T348" s="5" t="s">
        <v>285</v>
      </c>
      <c r="U348" s="5"/>
      <c r="V348" s="5" t="s">
        <v>354</v>
      </c>
      <c r="W348" s="5"/>
      <c r="X348" s="5" t="s">
        <v>311</v>
      </c>
      <c r="Y348" s="10" t="s">
        <v>69</v>
      </c>
      <c r="Z348" s="5" t="s">
        <v>524</v>
      </c>
      <c r="AA348" t="e">
        <f>COUNTIF([1]Sheet1!#REF!, "*"&amp; A348&amp;"*")</f>
        <v>#REF!</v>
      </c>
    </row>
    <row r="349" spans="1:27" x14ac:dyDescent="0.2">
      <c r="A349" s="5">
        <v>199041</v>
      </c>
      <c r="B349" s="5" t="s">
        <v>949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>
        <v>10</v>
      </c>
      <c r="N349" s="5">
        <v>17</v>
      </c>
      <c r="O349" s="5"/>
      <c r="P349" s="5"/>
      <c r="Q349" s="5">
        <f t="shared" si="15"/>
        <v>115</v>
      </c>
      <c r="R349" s="5">
        <v>0</v>
      </c>
      <c r="S349" s="5">
        <v>1</v>
      </c>
      <c r="T349" s="5" t="s">
        <v>989</v>
      </c>
      <c r="U349" s="5"/>
      <c r="V349" s="5"/>
      <c r="W349" s="5"/>
      <c r="X349" s="5" t="s">
        <v>183</v>
      </c>
      <c r="Y349" s="10" t="s">
        <v>335</v>
      </c>
      <c r="Z349" s="5" t="s">
        <v>950</v>
      </c>
      <c r="AA349" t="e">
        <f>COUNTIF([1]Sheet1!#REF!, "*"&amp; A349&amp;"*")</f>
        <v>#REF!</v>
      </c>
    </row>
    <row r="350" spans="1:27" x14ac:dyDescent="0.2">
      <c r="A350" s="5">
        <v>199042</v>
      </c>
      <c r="B350" s="5" t="s">
        <v>134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>
        <v>10</v>
      </c>
      <c r="N350" s="5">
        <v>17</v>
      </c>
      <c r="O350" s="5"/>
      <c r="P350" s="5"/>
      <c r="Q350" s="5">
        <f t="shared" si="15"/>
        <v>354</v>
      </c>
      <c r="R350" s="5">
        <v>0</v>
      </c>
      <c r="S350" s="5">
        <v>1</v>
      </c>
      <c r="T350" s="5" t="s">
        <v>285</v>
      </c>
      <c r="U350" s="5"/>
      <c r="V350" s="5" t="s">
        <v>348</v>
      </c>
      <c r="W350" s="5"/>
      <c r="X350" s="5" t="s">
        <v>311</v>
      </c>
      <c r="Y350" s="10" t="s">
        <v>69</v>
      </c>
      <c r="Z350" s="5" t="s">
        <v>520</v>
      </c>
      <c r="AA350" t="e">
        <f>COUNTIF([1]Sheet1!#REF!, "*"&amp; A350&amp;"*")</f>
        <v>#REF!</v>
      </c>
    </row>
    <row r="351" spans="1:27" x14ac:dyDescent="0.2">
      <c r="A351" s="5">
        <v>199043</v>
      </c>
      <c r="B351" s="5" t="s">
        <v>738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>
        <v>10</v>
      </c>
      <c r="N351" s="5">
        <v>17</v>
      </c>
      <c r="O351" s="5"/>
      <c r="P351" s="5"/>
      <c r="Q351" s="5">
        <f t="shared" si="15"/>
        <v>330</v>
      </c>
      <c r="R351" s="5">
        <v>0</v>
      </c>
      <c r="S351" s="5">
        <v>1</v>
      </c>
      <c r="T351" s="5" t="s">
        <v>989</v>
      </c>
      <c r="U351" s="5"/>
      <c r="V351" s="5"/>
      <c r="W351" s="5"/>
      <c r="X351" s="5" t="s">
        <v>183</v>
      </c>
      <c r="Y351" s="10" t="s">
        <v>335</v>
      </c>
      <c r="Z351" s="5" t="s">
        <v>907</v>
      </c>
      <c r="AA351" t="e">
        <f>COUNTIF([1]Sheet1!#REF!, "*"&amp; A351&amp;"*")</f>
        <v>#REF!</v>
      </c>
    </row>
  </sheetData>
  <autoFilter ref="A4:Z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T308:T309 T312:T348 T206:T208 T220:T222 T267 T88:T119 T1:T17 T19:T86 T145:T185 T239:T246 T274 T350 T352:T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T301:T302 T305:T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T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T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T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T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T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T247:T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T15:T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T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T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T139:T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T120:T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T209:T218 T186:T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T293:T300 T275:T291 T268:T273 T251:T266 T223:T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T351 T349 T303:T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2026-03-01T13:22:11Z</dcterms:modified>
</cp:coreProperties>
</file>